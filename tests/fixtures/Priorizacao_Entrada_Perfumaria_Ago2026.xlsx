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Priorização de Entrada" sheetId="2" state="visible" r:id="rId4"/>
    <sheet name="D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<sst xmlns="http://schemas.openxmlformats.org/spreadsheetml/2006/main" count="566" uniqueCount="166">
  <si>
    <t xml:space="preserve">Priorização de Entrada em Perfumaria — Top 100 Marcas (Nubmetrics, ago/2026)</t>
  </si>
  <si>
    <t xml:space="preserve">Categorias MLB1246 / MLB6284 no Mercado Livre · dados reais de vendas extraídos pelo Nubmetrics</t>
  </si>
  <si>
    <t xml:space="preserve">Marcas analisadas</t>
  </si>
  <si>
    <t xml:space="preserve">Vendas somadas (top 100 marcas)</t>
  </si>
  <si>
    <t xml:space="preserve">Unidades vendidas (top 100 marcas)</t>
  </si>
  <si>
    <t xml:space="preserve">Marcas do seu mix de nicho já nesta lista</t>
  </si>
  <si>
    <t xml:space="preserve">Achado principal: seu mix de nicho já é validado pelos dados</t>
  </si>
  <si>
    <t xml:space="preserve">XERJOFF, NISHANE e PARFUMS DE MARLY — as 3 marcas de nicho que você já definiu para a perfumaria — aparecem no top 100 do Mercado Livre com Saturação Baixa e Tendência Crescendo, e ticket médio entre R$1.500 e R$2.300 por unidade (muito acima da média do mercado, que fica na faixa de R$50-150). Poucos vendedores disputando (28-52), demanda comprovada e posicionamento de alta perfumaria: é exatamente o perfil de 'maior lucro e mais requinte' que você quer, e os dados confirmam que ainda há espaço pra entrar sem brigar de preço com 500 vendedores. SOSPIRO e CREED (mesma faixa de nicho) mostram o mesmo padrão, caso queira ampliar o mix.</t>
  </si>
  <si>
    <t xml:space="preserve">Como o modelo de pontuação funciona</t>
  </si>
  <si>
    <t xml:space="preserve">Pontuação 0-100 combinando 4 fatores, com pesos que você pode ajustar na aba "Priorização de Entrada" (célula amarela): ticket médio (proxy de lucro/requinte — 35%), poucos vendedores concorrendo (facilidade de entrada com capital de giro limitado — 25%), saturação baixa (espaço de mercado — 20%) e tendência de crescimento — 20%). Não é uma medida de margem real (não temos custo de aquisição nem frete) — é um proxy para ordenar por onde vale mais a pena negociar primeiro.</t>
  </si>
  <si>
    <t xml:space="preserve">Ondas de entrada sugeridas (pensando no seu capital de giro)</t>
  </si>
  <si>
    <t xml:space="preserve">•</t>
  </si>
  <si>
    <t xml:space="preserve">Onda 1 (as 12 melhor pontuadas): negociar/testar primeiro — melhor combinação de ticket alto, pouca concorrência e crescimento. Investimento menor por SKU testado, retorno relativo maior.</t>
  </si>
  <si>
    <t xml:space="preserve">Onda 2 (próximas 28): fila de espera — bons candidatos, mas com mais concorrência ou ticket mais baixo. Entrar depois que o caixa das primeiras marcas already girar.</t>
  </si>
  <si>
    <t xml:space="preserve">Onda 3 (as 60 restantes): marcas grandes/saturadas (ex: Natura, O Boticário) ou de menor ticket — exigem mais capital ou brigam mais no preço. Deixar para quando já tiver capital de giro mais folgado.</t>
  </si>
  <si>
    <t xml:space="preserve">Como usar este relatório</t>
  </si>
  <si>
    <t xml:space="preserve">Aba "Priorização de Entrada": a lista pronta, já ordenada pela pontuação, com a onda sugerida na primeira coluna. Linhas verdes = Onda 1. Linhas roxas = já está no seu mix de nicho.</t>
  </si>
  <si>
    <t xml:space="preserve">Aba "Dados": os 100 registros do Nubmetrics, convertidos para número (Vendas, Unidades, % Catálogo), com a coluna "Posicionamento" — minha classificação de cada marca (Nacional/Massa, Árabe/Import Acessível, Designer/Importado, Alta Perfumaria/Nicho). Marcas que eu não conhecia bem ficaram como "A verificar" — não chutei.</t>
  </si>
  <si>
    <t xml:space="preserve">Pesos ajustáveis: mude as células amarelas no topo de "Priorização de Entrada" pra dar mais ou menos peso a cada fator — tudo recalcula sozinho.</t>
  </si>
  <si>
    <t xml:space="preserve">Limitações</t>
  </si>
  <si>
    <t xml:space="preserve">Isso é ranking de vendas e concorrência no Mercado Livre — não é sua margem real. Custo de aquisição, frete, imposto e MOQ do fornecedor de cada marca não estão aqui e mudam a conta.</t>
  </si>
  <si>
    <t xml:space="preserve">"Posicionamento" é minha classificação por conhecimento geral do mercado de perfumaria, não um dado do Nubmetrics — trate como ponto de partida, não como verdade absoluta, principalmente nas marcas marcadas "A verificar".</t>
  </si>
  <si>
    <t xml:space="preserve">"Ranking de demanda" (coluna da aba Dados) é outra métrica do Nubmetrics que não incorporei na pontuação por não ter certeza da metodologia exata (maioria das marcas aparece como 0) — vale conferir direto na plataforma antes de usar.</t>
  </si>
  <si>
    <t xml:space="preserve">Retrato de agosto/2026 — sazonalidade (datas comemorativas, por exemplo) pode alterar bastante esse ranking em outros meses.</t>
  </si>
  <si>
    <t xml:space="preserve">Pesos do modelo (ajuste livremente — a pontuação recalcula sozinha)</t>
  </si>
  <si>
    <t xml:space="preserve">Peso: Ticket médio (proxy de lucro/requinte)</t>
  </si>
  <si>
    <t xml:space="preserve">Peso: Poucos vendedores (facilidade/capital de entrada)</t>
  </si>
  <si>
    <t xml:space="preserve">Peso: Saturação baixa (espaço de mercado)</t>
  </si>
  <si>
    <t xml:space="preserve">Peso: Tendência de crescimento</t>
  </si>
  <si>
    <t xml:space="preserve">Soma dos pesos (deve ser 100%)</t>
  </si>
  <si>
    <t xml:space="preserve">Onda de Entrada</t>
  </si>
  <si>
    <t xml:space="preserve">Marca</t>
  </si>
  <si>
    <t xml:space="preserve">Posicionamento</t>
  </si>
  <si>
    <t xml:space="preserve">Já no seu mix?</t>
  </si>
  <si>
    <t xml:space="preserve">Pontuação (0-100)</t>
  </si>
  <si>
    <t xml:space="preserve">Ticket Médio (R$)</t>
  </si>
  <si>
    <t xml:space="preserve">Nº Vendedores</t>
  </si>
  <si>
    <t xml:space="preserve">Saturação</t>
  </si>
  <si>
    <t xml:space="preserve">Tendência</t>
  </si>
  <si>
    <t xml:space="preserve">Vendas (R$)</t>
  </si>
  <si>
    <t xml:space="preserve">Unidades Vendidas</t>
  </si>
  <si>
    <t xml:space="preserve">% Catálogo</t>
  </si>
  <si>
    <t xml:space="preserve">#</t>
  </si>
  <si>
    <t xml:space="preserve">Posicionamento (classificação)</t>
  </si>
  <si>
    <t xml:space="preserve">Já no seu mix de nicho?</t>
  </si>
  <si>
    <t xml:space="preserve">Variação Ranking</t>
  </si>
  <si>
    <t xml:space="preserve">Ranking de Demanda (Nubmetrics)</t>
  </si>
  <si>
    <t xml:space="preserve">Rank Pontuação (auxiliar)</t>
  </si>
  <si>
    <t xml:space="preserve">NATURA</t>
  </si>
  <si>
    <t xml:space="preserve">Nacional/Massa</t>
  </si>
  <si>
    <t xml:space="preserve">Não</t>
  </si>
  <si>
    <t xml:space="preserve">Estável</t>
  </si>
  <si>
    <t xml:space="preserve">Alta</t>
  </si>
  <si>
    <t xml:space="preserve">LATTAFA</t>
  </si>
  <si>
    <t xml:space="preserve">Árabe/Import Acessível</t>
  </si>
  <si>
    <t xml:space="preserve">Média</t>
  </si>
  <si>
    <t xml:space="preserve">O BOTICÁRIO</t>
  </si>
  <si>
    <t xml:space="preserve">CAROLINA HERRERA</t>
  </si>
  <si>
    <t xml:space="preserve">Designer/Importado</t>
  </si>
  <si>
    <t xml:space="preserve">ARMAF</t>
  </si>
  <si>
    <t xml:space="preserve">Crescendo</t>
  </si>
  <si>
    <t xml:space="preserve">AL WATANIAH</t>
  </si>
  <si>
    <t xml:space="preserve">Diminuindo</t>
  </si>
  <si>
    <t xml:space="preserve">RABANNE</t>
  </si>
  <si>
    <t xml:space="preserve">JEAN PAUL GAULTIER</t>
  </si>
  <si>
    <t xml:space="preserve">MAISON ALHAMBRA</t>
  </si>
  <si>
    <t xml:space="preserve">LIPX</t>
  </si>
  <si>
    <t xml:space="preserve">A verificar</t>
  </si>
  <si>
    <t xml:space="preserve">EUDORA</t>
  </si>
  <si>
    <t xml:space="preserve">LANCÔME</t>
  </si>
  <si>
    <t xml:space="preserve">Designer/Importado Premium</t>
  </si>
  <si>
    <t xml:space="preserve">PRIMACIAL</t>
  </si>
  <si>
    <t xml:space="preserve">PARIS ELYSEES</t>
  </si>
  <si>
    <t xml:space="preserve">AZZARO</t>
  </si>
  <si>
    <t xml:space="preserve">FRENCH AVENUE</t>
  </si>
  <si>
    <t xml:space="preserve">Árabe/Import Acessível (a verificar)</t>
  </si>
  <si>
    <t xml:space="preserve">ARMANI BEAUTY</t>
  </si>
  <si>
    <t xml:space="preserve">YVES SAINT LAURENT</t>
  </si>
  <si>
    <t xml:space="preserve">CALVIN KLEIN</t>
  </si>
  <si>
    <t xml:space="preserve">JEQUITI</t>
  </si>
  <si>
    <t xml:space="preserve">DIOR</t>
  </si>
  <si>
    <t xml:space="preserve">Baixa</t>
  </si>
  <si>
    <t xml:space="preserve">DOLCE &amp; GABBANA</t>
  </si>
  <si>
    <t xml:space="preserve">BARBOUR’S BEAUTY</t>
  </si>
  <si>
    <t xml:space="preserve">AFNAN</t>
  </si>
  <si>
    <t xml:space="preserve">RASASI</t>
  </si>
  <si>
    <t xml:space="preserve">VERSACE</t>
  </si>
  <si>
    <t xml:space="preserve">BIDAYA</t>
  </si>
  <si>
    <t xml:space="preserve">CHANEL</t>
  </si>
  <si>
    <t xml:space="preserve">ISABELLE LA BELLE</t>
  </si>
  <si>
    <t xml:space="preserve">GIORGIO ARMANI</t>
  </si>
  <si>
    <t xml:space="preserve">HUGO BOSS</t>
  </si>
  <si>
    <t xml:space="preserve">WEPINK</t>
  </si>
  <si>
    <t xml:space="preserve">NAUTICA</t>
  </si>
  <si>
    <t xml:space="preserve">PRADA</t>
  </si>
  <si>
    <t xml:space="preserve">RALPH LAUREN</t>
  </si>
  <si>
    <t xml:space="preserve">HINODE</t>
  </si>
  <si>
    <t xml:space="preserve">RAYHAAN</t>
  </si>
  <si>
    <t xml:space="preserve">PARIS INTENSE</t>
  </si>
  <si>
    <t xml:space="preserve">Nacional/Contratipo (a verificar)</t>
  </si>
  <si>
    <t xml:space="preserve">BANDERAS</t>
  </si>
  <si>
    <t xml:space="preserve">MAWWAL</t>
  </si>
  <si>
    <t xml:space="preserve">EZ COSMÉTICOS</t>
  </si>
  <si>
    <t xml:space="preserve">ISSEY MIYAKE</t>
  </si>
  <si>
    <t xml:space="preserve">LA RIVE</t>
  </si>
  <si>
    <t xml:space="preserve">Importado Acessível/Contratipo</t>
  </si>
  <si>
    <t xml:space="preserve">ATTRACIONE</t>
  </si>
  <si>
    <t xml:space="preserve">VICTORIA'S SECRET</t>
  </si>
  <si>
    <t xml:space="preserve">LESCENT</t>
  </si>
  <si>
    <t xml:space="preserve">SOSPIRO</t>
  </si>
  <si>
    <t xml:space="preserve">Alta Perfumaria/Nicho</t>
  </si>
  <si>
    <t xml:space="preserve">CICLO</t>
  </si>
  <si>
    <t xml:space="preserve">MONTBLANC</t>
  </si>
  <si>
    <t xml:space="preserve">XERJOFF</t>
  </si>
  <si>
    <t xml:space="preserve">Sim</t>
  </si>
  <si>
    <t xml:space="preserve">BARBOUR'S</t>
  </si>
  <si>
    <t xml:space="preserve">ERIAN</t>
  </si>
  <si>
    <t xml:space="preserve">FEROFIRE</t>
  </si>
  <si>
    <t xml:space="preserve">LAB8 FLUY</t>
  </si>
  <si>
    <t xml:space="preserve">AVON</t>
  </si>
  <si>
    <t xml:space="preserve">JACQUES BOGART</t>
  </si>
  <si>
    <t xml:space="preserve">GIVENCHY</t>
  </si>
  <si>
    <t xml:space="preserve">BVLGARI</t>
  </si>
  <si>
    <t xml:space="preserve">GRANADO</t>
  </si>
  <si>
    <t xml:space="preserve">MAHOGANY</t>
  </si>
  <si>
    <t xml:space="preserve">TOUTI</t>
  </si>
  <si>
    <t xml:space="preserve">CHLOÉ</t>
  </si>
  <si>
    <t xml:space="preserve">PARIS CORNER</t>
  </si>
  <si>
    <t xml:space="preserve">BURBERRY</t>
  </si>
  <si>
    <t xml:space="preserve">AMAKHA PARIS</t>
  </si>
  <si>
    <t xml:space="preserve">BRAND COLLECTION</t>
  </si>
  <si>
    <t xml:space="preserve">Nacional/Contratipo</t>
  </si>
  <si>
    <t xml:space="preserve">FERRARI</t>
  </si>
  <si>
    <t xml:space="preserve">JOOP!</t>
  </si>
  <si>
    <t xml:space="preserve">MUGLER</t>
  </si>
  <si>
    <t xml:space="preserve">KHADLAJ</t>
  </si>
  <si>
    <t xml:space="preserve">MAISON ASRAR</t>
  </si>
  <si>
    <t xml:space="preserve">LAB 8 FRAGRANCES</t>
  </si>
  <si>
    <t xml:space="preserve">ANIMALE</t>
  </si>
  <si>
    <t xml:space="preserve">NISHANE</t>
  </si>
  <si>
    <t xml:space="preserve">CREED</t>
  </si>
  <si>
    <t xml:space="preserve">CACHAREL</t>
  </si>
  <si>
    <t xml:space="preserve">YEAR ONE PERFUMES</t>
  </si>
  <si>
    <t xml:space="preserve">FRAGRANCE WORLD</t>
  </si>
  <si>
    <t xml:space="preserve">AURA BEAUTY</t>
  </si>
  <si>
    <t xml:space="preserve">GOTA BRASIL</t>
  </si>
  <si>
    <t xml:space="preserve">CUBA PARIS</t>
  </si>
  <si>
    <t xml:space="preserve">ISABELLE LA BELLE ASAD BOURBON</t>
  </si>
  <si>
    <t xml:space="preserve">BELARA - LATTAFA</t>
  </si>
  <si>
    <t xml:space="preserve">HANNITY COSMETICOS</t>
  </si>
  <si>
    <t xml:space="preserve">BRITNEY SPEARS</t>
  </si>
  <si>
    <t xml:space="preserve">MERCEDES-BENZ</t>
  </si>
  <si>
    <t xml:space="preserve">PARFUMS DE MARLY</t>
  </si>
  <si>
    <t xml:space="preserve">L'ACQUA DI FIORI</t>
  </si>
  <si>
    <t xml:space="preserve">MOSCHINO</t>
  </si>
  <si>
    <t xml:space="preserve">NARCISO RODRIGUEZ</t>
  </si>
  <si>
    <t xml:space="preserve">GUCCI</t>
  </si>
  <si>
    <t xml:space="preserve">THIERRY MUGLER</t>
  </si>
  <si>
    <t xml:space="preserve">FINKÈ</t>
  </si>
  <si>
    <t xml:space="preserve">ULRIC DE VARENS</t>
  </si>
  <si>
    <t xml:space="preserve">TOMMY HILFIGER</t>
  </si>
  <si>
    <t xml:space="preserve">IN THE BOX</t>
  </si>
  <si>
    <t xml:space="preserve">PHEBO</t>
  </si>
  <si>
    <t xml:space="preserve">NUANCIELO</t>
  </si>
  <si>
    <t xml:space="preserve">DAVIDOFF</t>
  </si>
  <si>
    <t xml:space="preserve">AL HARAMAIN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</si>
</sst>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&quot;R$ &quot;#,##0"/>
    <numFmt numFmtId="167" formatCode="0%"/>
    <numFmt numFmtId="168" formatCode="0.0"/>
    <numFmt numFmtId="169" formatCode="&quot;R$ &quot;#,##0.00"/>
    <numFmt numFmtId="170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2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dos" displayName="Dados" ref="A1:M101" headerRowCount="1" totalsRowCount="0" totalsRowShown="0">
  <autoFilter ref="A1:M101"/>
  <tableColumns count="13">
    <tableColumn id="1" name="#"/>
    <tableColumn id="2" name="Marca"/>
    <tableColumn id="3" name="Posicionamento (classificação)"/>
    <tableColumn id="4" name="Já no seu mix de nicho?"/>
    <tableColumn id="5" name="Variação Ranking"/>
    <tableColumn id="6" name="Vendas (R$)"/>
    <tableColumn id="7" name="Unidades Vendidas"/>
    <tableColumn id="8" name="Ticket Médio (R$)"/>
    <tableColumn id="9" name="Tendência"/>
    <tableColumn id="10" name="% Catálogo"/>
    <tableColumn id="11" name="Nº Vendedores"/>
    <tableColumn id="12" name="Saturação"/>
    <tableColumn id="13" name="Ranking de Demanda (Nubmetrics)"/>
  </tableColumns>
</table>
</file>

<file path=xl/tables/table2.xml><?xml version="1.0" encoding="utf-8"?>
<table xmlns="http://schemas.openxmlformats.org/spreadsheetml/2006/main" id="2" name="Priorizacao" displayName="Priorizacao" ref="A9:L109" headerRowCount="1" totalsRowCount="0" totalsRowShown="0">
  <autoFilter ref="A9:L109"/>
  <tableColumns count="12">
    <tableColumn id="1" name="Onda de Entrada"/>
    <tableColumn id="2" name="Marca"/>
    <tableColumn id="3" name="Posicionamento"/>
    <tableColumn id="4" name="Já no seu mix?"/>
    <tableColumn id="5" name="Pontuação (0-100)"/>
    <tableColumn id="6" name="Ticket Médio (R$)"/>
    <tableColumn id="7" name="Nº Vendedores"/>
    <tableColumn id="8" name="Saturação"/>
    <tableColumn id="9" name="Tendência"/>
    <tableColumn id="10" name="Vendas (R$)"/>
    <tableColumn id="11" name="Unidades Vendidas"/>
    <tableColumn id="12" name="% Catálog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0"/>
  </cols>
  <sheetData>
    <row r="2" customFormat="false" ht="19.7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9.7" hidden="false" customHeight="false" outlineLevel="0" collapsed="false">
      <c r="B5" s="3" t="s">
        <v>2</v>
      </c>
      <c r="C5" s="4" t="n">
        <v>100</v>
      </c>
    </row>
    <row r="6" customFormat="false" ht="19.7" hidden="false" customHeight="false" outlineLevel="0" collapsed="false">
      <c r="B6" s="3" t="s">
        <v>3</v>
      </c>
      <c r="C6" s="5" t="n">
        <f aca="false">SUM(Dados!F2:F101)</f>
        <v>193562500</v>
      </c>
    </row>
    <row r="7" customFormat="false" ht="19.7" hidden="false" customHeight="false" outlineLevel="0" collapsed="false">
      <c r="B7" s="3" t="s">
        <v>4</v>
      </c>
      <c r="C7" s="4" t="n">
        <f aca="false">SUM(Dados!G2:G101)</f>
        <v>1165718</v>
      </c>
    </row>
    <row r="8" customFormat="false" ht="19.7" hidden="false" customHeight="false" outlineLevel="0" collapsed="false">
      <c r="B8" s="3" t="s">
        <v>5</v>
      </c>
      <c r="C8" s="4" t="n">
        <f aca="false">COUNTIF(Dados!D2:D101,"Sim")</f>
        <v>3</v>
      </c>
    </row>
    <row r="10" customFormat="false" ht="15" hidden="false" customHeight="false" outlineLevel="0" collapsed="false">
      <c r="B10" s="6" t="s">
        <v>6</v>
      </c>
      <c r="C10" s="6"/>
    </row>
    <row r="11" customFormat="false" ht="90" hidden="false" customHeight="true" outlineLevel="0" collapsed="false">
      <c r="B11" s="7" t="s">
        <v>7</v>
      </c>
      <c r="C11" s="7"/>
    </row>
    <row r="13" customFormat="false" ht="15" hidden="false" customHeight="false" outlineLevel="0" collapsed="false">
      <c r="B13" s="6" t="s">
        <v>8</v>
      </c>
      <c r="C13" s="6"/>
    </row>
    <row r="14" customFormat="false" ht="69.75" hidden="false" customHeight="true" outlineLevel="0" collapsed="false">
      <c r="B14" s="7" t="s">
        <v>9</v>
      </c>
      <c r="C14" s="7"/>
    </row>
    <row r="16" customFormat="false" ht="15" hidden="false" customHeight="false" outlineLevel="0" collapsed="false">
      <c r="B16" s="6" t="s">
        <v>10</v>
      </c>
      <c r="C16" s="6"/>
    </row>
    <row r="17" customFormat="false" ht="43.5" hidden="false" customHeight="true" outlineLevel="0" collapsed="false">
      <c r="B17" s="8" t="s">
        <v>11</v>
      </c>
      <c r="C17" s="9" t="s">
        <v>12</v>
      </c>
    </row>
    <row r="18" customFormat="false" ht="43.5" hidden="false" customHeight="true" outlineLevel="0" collapsed="false">
      <c r="B18" s="8" t="s">
        <v>11</v>
      </c>
      <c r="C18" s="9" t="s">
        <v>13</v>
      </c>
    </row>
    <row r="19" customFormat="false" ht="43.5" hidden="false" customHeight="true" outlineLevel="0" collapsed="false">
      <c r="B19" s="8" t="s">
        <v>11</v>
      </c>
      <c r="C19" s="9" t="s">
        <v>14</v>
      </c>
    </row>
    <row r="21" customFormat="false" ht="15" hidden="false" customHeight="false" outlineLevel="0" collapsed="false">
      <c r="B21" s="6" t="s">
        <v>15</v>
      </c>
      <c r="C21" s="6"/>
    </row>
    <row r="22" customFormat="false" ht="49.5" hidden="false" customHeight="true" outlineLevel="0" collapsed="false">
      <c r="B22" s="8" t="s">
        <v>11</v>
      </c>
      <c r="C22" s="9" t="s">
        <v>16</v>
      </c>
    </row>
    <row r="23" customFormat="false" ht="49.5" hidden="false" customHeight="true" outlineLevel="0" collapsed="false">
      <c r="B23" s="8" t="s">
        <v>11</v>
      </c>
      <c r="C23" s="9" t="s">
        <v>17</v>
      </c>
    </row>
    <row r="24" customFormat="false" ht="49.5" hidden="false" customHeight="true" outlineLevel="0" collapsed="false">
      <c r="B24" s="8" t="s">
        <v>11</v>
      </c>
      <c r="C24" s="9" t="s">
        <v>18</v>
      </c>
    </row>
    <row r="26" customFormat="false" ht="15" hidden="false" customHeight="false" outlineLevel="0" collapsed="false">
      <c r="B26" s="6" t="s">
        <v>19</v>
      </c>
      <c r="C26" s="6"/>
    </row>
    <row r="27" customFormat="false" ht="49.5" hidden="false" customHeight="true" outlineLevel="0" collapsed="false">
      <c r="B27" s="8" t="s">
        <v>11</v>
      </c>
      <c r="C27" s="9" t="s">
        <v>20</v>
      </c>
    </row>
    <row r="28" customFormat="false" ht="49.5" hidden="false" customHeight="true" outlineLevel="0" collapsed="false">
      <c r="B28" s="8" t="s">
        <v>11</v>
      </c>
      <c r="C28" s="9" t="s">
        <v>21</v>
      </c>
    </row>
    <row r="29" customFormat="false" ht="49.5" hidden="false" customHeight="true" outlineLevel="0" collapsed="false">
      <c r="B29" s="8" t="s">
        <v>11</v>
      </c>
      <c r="C29" s="9" t="s">
        <v>22</v>
      </c>
    </row>
    <row r="30" customFormat="false" ht="49.5" hidden="false" customHeight="true" outlineLevel="0" collapsed="false">
      <c r="B30" s="8" t="s">
        <v>11</v>
      </c>
      <c r="C30" s="9" t="s">
        <v>23</v>
      </c>
    </row>
  </sheetData>
  <mergeCells count="9">
    <mergeCell ref="B2:C2"/>
    <mergeCell ref="B3:C3"/>
    <mergeCell ref="B10:C10"/>
    <mergeCell ref="B11:C11"/>
    <mergeCell ref="B13:C13"/>
    <mergeCell ref="B14:C14"/>
    <mergeCell ref="B16:C16"/>
    <mergeCell ref="B21:C21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6" t="s">
        <v>24</v>
      </c>
      <c r="B1" s="6"/>
      <c r="C1" s="6"/>
      <c r="D1" s="6"/>
    </row>
    <row r="3" customFormat="false" ht="15" hidden="false" customHeight="false" outlineLevel="0" collapsed="false">
      <c r="A3" s="8" t="s">
        <v>25</v>
      </c>
      <c r="B3" s="10" t="n">
        <v>0.35</v>
      </c>
    </row>
    <row r="4" customFormat="false" ht="15" hidden="false" customHeight="false" outlineLevel="0" collapsed="false">
      <c r="A4" s="8" t="s">
        <v>26</v>
      </c>
      <c r="B4" s="10" t="n">
        <v>0.25</v>
      </c>
    </row>
    <row r="5" customFormat="false" ht="15" hidden="false" customHeight="false" outlineLevel="0" collapsed="false">
      <c r="A5" s="8" t="s">
        <v>27</v>
      </c>
      <c r="B5" s="10" t="n">
        <v>0.2</v>
      </c>
    </row>
    <row r="6" customFormat="false" ht="15" hidden="false" customHeight="false" outlineLevel="0" collapsed="false">
      <c r="A6" s="8" t="s">
        <v>28</v>
      </c>
      <c r="B6" s="10" t="n">
        <v>0.2</v>
      </c>
    </row>
    <row r="7" customFormat="false" ht="15" hidden="false" customHeight="false" outlineLevel="0" collapsed="false">
      <c r="A7" s="3" t="s">
        <v>29</v>
      </c>
      <c r="B7" s="11" t="n">
        <f aca="false">SUM(B3:B6)</f>
        <v>1</v>
      </c>
    </row>
    <row r="9" customFormat="false" ht="35.05" hidden="false" customHeight="false" outlineLevel="0" collapsed="false">
      <c r="A9" s="12" t="s">
        <v>30</v>
      </c>
      <c r="B9" s="12" t="s">
        <v>31</v>
      </c>
      <c r="C9" s="12" t="s">
        <v>32</v>
      </c>
      <c r="D9" s="12" t="s">
        <v>33</v>
      </c>
      <c r="E9" s="12" t="s">
        <v>34</v>
      </c>
      <c r="F9" s="12" t="s">
        <v>35</v>
      </c>
      <c r="G9" s="12" t="s">
        <v>36</v>
      </c>
      <c r="H9" s="12" t="s">
        <v>37</v>
      </c>
      <c r="I9" s="12" t="s">
        <v>38</v>
      </c>
      <c r="J9" s="12" t="s">
        <v>39</v>
      </c>
      <c r="K9" s="12" t="s">
        <v>40</v>
      </c>
      <c r="L9" s="12" t="s">
        <v>41</v>
      </c>
    </row>
    <row r="10" customFormat="false" ht="15" hidden="false" customHeight="false" outlineLevel="0" collapsed="false">
      <c r="A10" s="8" t="str">
        <f aca="false">IF(1&lt;=12,"Onda 1 — testar agora",IF(1&lt;=40,"Onda 2 — próximos passos","Onda 3 — depois de consolidar"))</f>
        <v>Onda 1 — testar agora</v>
      </c>
      <c r="B10" s="8" t="str">
        <f aca="false">INDEX(Dados!$B:$B,MATCH(1,Dados!$O:$O,0))</f>
        <v>CREED</v>
      </c>
      <c r="C10" s="8" t="str">
        <f aca="false">INDEX(Dados!$C:$C,MATCH(1,Dados!$O:$O,0))</f>
        <v>Alta Perfumaria/Nicho</v>
      </c>
      <c r="D10" s="8" t="str">
        <f aca="false">INDEX(Dados!$D:$D,MATCH(1,Dados!$O:$O,0))</f>
        <v>Não</v>
      </c>
      <c r="E10" s="13" t="n">
        <f aca="false">INDEX(Dados!$N:$N,MATCH(1,Dados!$O:$O,0))</f>
        <v>98.8836265223275</v>
      </c>
      <c r="F10" s="14" t="n">
        <f aca="false">INDEX(Dados!$H:$H,MATCH(1,Dados!$O:$O,0))</f>
        <v>2290.74074074074</v>
      </c>
      <c r="G10" s="8" t="n">
        <f aca="false">INDEX(Dados!$K:$K,MATCH(1,Dados!$O:$O,0))</f>
        <v>33</v>
      </c>
      <c r="H10" s="8" t="str">
        <f aca="false">INDEX(Dados!$L:$L,MATCH(1,Dados!$O:$O,0))</f>
        <v>Baixa</v>
      </c>
      <c r="I10" s="8" t="str">
        <f aca="false">INDEX(Dados!$I:$I,MATCH(1,Dados!$O:$O,0))</f>
        <v>Crescendo</v>
      </c>
      <c r="J10" s="15" t="n">
        <f aca="false">INDEX(Dados!$F:$F,MATCH(1,Dados!$O:$O,0))</f>
        <v>371100</v>
      </c>
      <c r="K10" s="16" t="n">
        <f aca="false">INDEX(Dados!$G:$G,MATCH(1,Dados!$O:$O,0))</f>
        <v>162</v>
      </c>
      <c r="L10" s="17" t="n">
        <f aca="false">INDEX(Dados!$J:$J,MATCH(1,Dados!$O:$O,0))</f>
        <v>0.7324</v>
      </c>
    </row>
    <row r="11" customFormat="false" ht="15" hidden="false" customHeight="false" outlineLevel="0" collapsed="false">
      <c r="A11" s="8" t="str">
        <f aca="false">IF(2&lt;=12,"Onda 1 — testar agora",IF(2&lt;=40,"Onda 2 — próximos passos","Onda 3 — depois de consolidar"))</f>
        <v>Onda 1 — testar agora</v>
      </c>
      <c r="B11" s="8" t="str">
        <f aca="false">INDEX(Dados!$B:$B,MATCH(2,Dados!$O:$O,0))</f>
        <v>PARFUMS DE MARLY</v>
      </c>
      <c r="C11" s="8" t="str">
        <f aca="false">INDEX(Dados!$C:$C,MATCH(2,Dados!$O:$O,0))</f>
        <v>Alta Perfumaria/Nicho</v>
      </c>
      <c r="D11" s="8" t="str">
        <f aca="false">INDEX(Dados!$D:$D,MATCH(2,Dados!$O:$O,0))</f>
        <v>Sim</v>
      </c>
      <c r="E11" s="13" t="n">
        <f aca="false">INDEX(Dados!$N:$N,MATCH(2,Dados!$O:$O,0))</f>
        <v>94.2249288620455</v>
      </c>
      <c r="F11" s="14" t="n">
        <f aca="false">INDEX(Dados!$H:$H,MATCH(2,Dados!$O:$O,0))</f>
        <v>1976.97368421053</v>
      </c>
      <c r="G11" s="8" t="n">
        <f aca="false">INDEX(Dados!$K:$K,MATCH(2,Dados!$O:$O,0))</f>
        <v>29</v>
      </c>
      <c r="H11" s="8" t="str">
        <f aca="false">INDEX(Dados!$L:$L,MATCH(2,Dados!$O:$O,0))</f>
        <v>Baixa</v>
      </c>
      <c r="I11" s="8" t="str">
        <f aca="false">INDEX(Dados!$I:$I,MATCH(2,Dados!$O:$O,0))</f>
        <v>Crescendo</v>
      </c>
      <c r="J11" s="15" t="n">
        <f aca="false">INDEX(Dados!$F:$F,MATCH(2,Dados!$O:$O,0))</f>
        <v>300500</v>
      </c>
      <c r="K11" s="16" t="n">
        <f aca="false">INDEX(Dados!$G:$G,MATCH(2,Dados!$O:$O,0))</f>
        <v>152</v>
      </c>
      <c r="L11" s="17" t="n">
        <f aca="false">INDEX(Dados!$J:$J,MATCH(2,Dados!$O:$O,0))</f>
        <v>0.7123</v>
      </c>
    </row>
    <row r="12" customFormat="false" ht="15" hidden="false" customHeight="false" outlineLevel="0" collapsed="false">
      <c r="A12" s="8" t="str">
        <f aca="false">IF(3&lt;=12,"Onda 1 — testar agora",IF(3&lt;=40,"Onda 2 — próximos passos","Onda 3 — depois de consolidar"))</f>
        <v>Onda 1 — testar agora</v>
      </c>
      <c r="B12" s="8" t="str">
        <f aca="false">INDEX(Dados!$B:$B,MATCH(3,Dados!$O:$O,0))</f>
        <v>NISHANE</v>
      </c>
      <c r="C12" s="8" t="str">
        <f aca="false">INDEX(Dados!$C:$C,MATCH(3,Dados!$O:$O,0))</f>
        <v>Alta Perfumaria/Nicho</v>
      </c>
      <c r="D12" s="8" t="str">
        <f aca="false">INDEX(Dados!$D:$D,MATCH(3,Dados!$O:$O,0))</f>
        <v>Sim</v>
      </c>
      <c r="E12" s="13" t="n">
        <f aca="false">INDEX(Dados!$N:$N,MATCH(3,Dados!$O:$O,0))</f>
        <v>91.3539456404277</v>
      </c>
      <c r="F12" s="14" t="n">
        <f aca="false">INDEX(Dados!$H:$H,MATCH(3,Dados!$O:$O,0))</f>
        <v>1786.8544600939</v>
      </c>
      <c r="G12" s="8" t="n">
        <f aca="false">INDEX(Dados!$K:$K,MATCH(3,Dados!$O:$O,0))</f>
        <v>28</v>
      </c>
      <c r="H12" s="8" t="str">
        <f aca="false">INDEX(Dados!$L:$L,MATCH(3,Dados!$O:$O,0))</f>
        <v>Baixa</v>
      </c>
      <c r="I12" s="8" t="str">
        <f aca="false">INDEX(Dados!$I:$I,MATCH(3,Dados!$O:$O,0))</f>
        <v>Crescendo</v>
      </c>
      <c r="J12" s="15" t="n">
        <f aca="false">INDEX(Dados!$F:$F,MATCH(3,Dados!$O:$O,0))</f>
        <v>380600</v>
      </c>
      <c r="K12" s="16" t="n">
        <f aca="false">INDEX(Dados!$G:$G,MATCH(3,Dados!$O:$O,0))</f>
        <v>213</v>
      </c>
      <c r="L12" s="17" t="n">
        <f aca="false">INDEX(Dados!$J:$J,MATCH(3,Dados!$O:$O,0))</f>
        <v>0.7377</v>
      </c>
    </row>
    <row r="13" customFormat="false" ht="15" hidden="false" customHeight="false" outlineLevel="0" collapsed="false">
      <c r="A13" s="8" t="str">
        <f aca="false">IF(4&lt;=12,"Onda 1 — testar agora",IF(4&lt;=40,"Onda 2 — próximos passos","Onda 3 — depois de consolidar"))</f>
        <v>Onda 1 — testar agora</v>
      </c>
      <c r="B13" s="8" t="str">
        <f aca="false">INDEX(Dados!$B:$B,MATCH(4,Dados!$O:$O,0))</f>
        <v>XERJOFF</v>
      </c>
      <c r="C13" s="8" t="str">
        <f aca="false">INDEX(Dados!$C:$C,MATCH(4,Dados!$O:$O,0))</f>
        <v>Alta Perfumaria/Nicho</v>
      </c>
      <c r="D13" s="8" t="str">
        <f aca="false">INDEX(Dados!$D:$D,MATCH(4,Dados!$O:$O,0))</f>
        <v>Sim</v>
      </c>
      <c r="E13" s="13" t="n">
        <f aca="false">INDEX(Dados!$N:$N,MATCH(4,Dados!$O:$O,0))</f>
        <v>76.8386207119905</v>
      </c>
      <c r="F13" s="14" t="n">
        <f aca="false">INDEX(Dados!$H:$H,MATCH(4,Dados!$O:$O,0))</f>
        <v>1544.46680080483</v>
      </c>
      <c r="G13" s="8" t="n">
        <f aca="false">INDEX(Dados!$K:$K,MATCH(4,Dados!$O:$O,0))</f>
        <v>52</v>
      </c>
      <c r="H13" s="8" t="str">
        <f aca="false">INDEX(Dados!$L:$L,MATCH(4,Dados!$O:$O,0))</f>
        <v>Média</v>
      </c>
      <c r="I13" s="8" t="str">
        <f aca="false">INDEX(Dados!$I:$I,MATCH(4,Dados!$O:$O,0))</f>
        <v>Crescendo</v>
      </c>
      <c r="J13" s="15" t="n">
        <f aca="false">INDEX(Dados!$F:$F,MATCH(4,Dados!$O:$O,0))</f>
        <v>767600</v>
      </c>
      <c r="K13" s="16" t="n">
        <f aca="false">INDEX(Dados!$G:$G,MATCH(4,Dados!$O:$O,0))</f>
        <v>497</v>
      </c>
      <c r="L13" s="17" t="n">
        <f aca="false">INDEX(Dados!$J:$J,MATCH(4,Dados!$O:$O,0))</f>
        <v>0.7483</v>
      </c>
    </row>
    <row r="14" customFormat="false" ht="15" hidden="false" customHeight="false" outlineLevel="0" collapsed="false">
      <c r="A14" s="8" t="str">
        <f aca="false">IF(5&lt;=12,"Onda 1 — testar agora",IF(5&lt;=40,"Onda 2 — próximos passos","Onda 3 — depois de consolidar"))</f>
        <v>Onda 1 — testar agora</v>
      </c>
      <c r="B14" s="8" t="str">
        <f aca="false">INDEX(Dados!$B:$B,MATCH(5,Dados!$O:$O,0))</f>
        <v>SOSPIRO</v>
      </c>
      <c r="C14" s="8" t="str">
        <f aca="false">INDEX(Dados!$C:$C,MATCH(5,Dados!$O:$O,0))</f>
        <v>Alta Perfumaria/Nicho</v>
      </c>
      <c r="D14" s="8" t="str">
        <f aca="false">INDEX(Dados!$D:$D,MATCH(5,Dados!$O:$O,0))</f>
        <v>Não</v>
      </c>
      <c r="E14" s="13" t="n">
        <f aca="false">INDEX(Dados!$N:$N,MATCH(5,Dados!$O:$O,0))</f>
        <v>75.1209809092793</v>
      </c>
      <c r="F14" s="14" t="n">
        <f aca="false">INDEX(Dados!$H:$H,MATCH(5,Dados!$O:$O,0))</f>
        <v>1396.62162162162</v>
      </c>
      <c r="G14" s="8" t="n">
        <f aca="false">INDEX(Dados!$K:$K,MATCH(5,Dados!$O:$O,0))</f>
        <v>36</v>
      </c>
      <c r="H14" s="8" t="str">
        <f aca="false">INDEX(Dados!$L:$L,MATCH(5,Dados!$O:$O,0))</f>
        <v>Média</v>
      </c>
      <c r="I14" s="8" t="str">
        <f aca="false">INDEX(Dados!$I:$I,MATCH(5,Dados!$O:$O,0))</f>
        <v>Crescendo</v>
      </c>
      <c r="J14" s="15" t="n">
        <f aca="false">INDEX(Dados!$F:$F,MATCH(5,Dados!$O:$O,0))</f>
        <v>826800</v>
      </c>
      <c r="K14" s="16" t="n">
        <f aca="false">INDEX(Dados!$G:$G,MATCH(5,Dados!$O:$O,0))</f>
        <v>592</v>
      </c>
      <c r="L14" s="17" t="n">
        <f aca="false">INDEX(Dados!$J:$J,MATCH(5,Dados!$O:$O,0))</f>
        <v>0.6364</v>
      </c>
    </row>
    <row r="15" customFormat="false" ht="15" hidden="false" customHeight="false" outlineLevel="0" collapsed="false">
      <c r="A15" s="8" t="str">
        <f aca="false">IF(6&lt;=12,"Onda 1 — testar agora",IF(6&lt;=40,"Onda 2 — próximos passos","Onda 3 — depois de consolidar"))</f>
        <v>Onda 1 — testar agora</v>
      </c>
      <c r="B15" s="8" t="str">
        <f aca="false">INDEX(Dados!$B:$B,MATCH(6,Dados!$O:$O,0))</f>
        <v>MAISON ASRAR</v>
      </c>
      <c r="C15" s="8" t="str">
        <f aca="false">INDEX(Dados!$C:$C,MATCH(6,Dados!$O:$O,0))</f>
        <v>Árabe/Import Acessível</v>
      </c>
      <c r="D15" s="8" t="str">
        <f aca="false">INDEX(Dados!$D:$D,MATCH(6,Dados!$O:$O,0))</f>
        <v>Não</v>
      </c>
      <c r="E15" s="13" t="n">
        <f aca="false">INDEX(Dados!$N:$N,MATCH(6,Dados!$O:$O,0))</f>
        <v>68.7974486784592</v>
      </c>
      <c r="F15" s="14" t="n">
        <f aca="false">INDEX(Dados!$H:$H,MATCH(6,Dados!$O:$O,0))</f>
        <v>385.818181818182</v>
      </c>
      <c r="G15" s="8" t="n">
        <f aca="false">INDEX(Dados!$K:$K,MATCH(6,Dados!$O:$O,0))</f>
        <v>62</v>
      </c>
      <c r="H15" s="8" t="str">
        <f aca="false">INDEX(Dados!$L:$L,MATCH(6,Dados!$O:$O,0))</f>
        <v>Baixa</v>
      </c>
      <c r="I15" s="8" t="str">
        <f aca="false">INDEX(Dados!$I:$I,MATCH(6,Dados!$O:$O,0))</f>
        <v>Crescendo</v>
      </c>
      <c r="J15" s="15" t="n">
        <f aca="false">INDEX(Dados!$F:$F,MATCH(6,Dados!$O:$O,0))</f>
        <v>424400</v>
      </c>
      <c r="K15" s="16" t="n">
        <f aca="false">INDEX(Dados!$G:$G,MATCH(6,Dados!$O:$O,0))</f>
        <v>1100</v>
      </c>
      <c r="L15" s="17" t="n">
        <f aca="false">INDEX(Dados!$J:$J,MATCH(6,Dados!$O:$O,0))</f>
        <v>0.7066</v>
      </c>
    </row>
    <row r="16" customFormat="false" ht="15" hidden="false" customHeight="false" outlineLevel="0" collapsed="false">
      <c r="A16" s="8" t="str">
        <f aca="false">IF(7&lt;=12,"Onda 1 — testar agora",IF(7&lt;=40,"Onda 2 — próximos passos","Onda 3 — depois de consolidar"))</f>
        <v>Onda 1 — testar agora</v>
      </c>
      <c r="B16" s="8" t="str">
        <f aca="false">INDEX(Dados!$B:$B,MATCH(7,Dados!$O:$O,0))</f>
        <v>IN THE BOX</v>
      </c>
      <c r="C16" s="8" t="str">
        <f aca="false">INDEX(Dados!$C:$C,MATCH(7,Dados!$O:$O,0))</f>
        <v>A verificar</v>
      </c>
      <c r="D16" s="8" t="str">
        <f aca="false">INDEX(Dados!$D:$D,MATCH(7,Dados!$O:$O,0))</f>
        <v>Não</v>
      </c>
      <c r="E16" s="13" t="n">
        <f aca="false">INDEX(Dados!$N:$N,MATCH(7,Dados!$O:$O,0))</f>
        <v>68.263049166865</v>
      </c>
      <c r="F16" s="14" t="n">
        <f aca="false">INDEX(Dados!$H:$H,MATCH(7,Dados!$O:$O,0))</f>
        <v>224.636363636364</v>
      </c>
      <c r="G16" s="8" t="n">
        <f aca="false">INDEX(Dados!$K:$K,MATCH(7,Dados!$O:$O,0))</f>
        <v>5</v>
      </c>
      <c r="H16" s="8" t="str">
        <f aca="false">INDEX(Dados!$L:$L,MATCH(7,Dados!$O:$O,0))</f>
        <v>Baixa</v>
      </c>
      <c r="I16" s="8" t="str">
        <f aca="false">INDEX(Dados!$I:$I,MATCH(7,Dados!$O:$O,0))</f>
        <v>Crescendo</v>
      </c>
      <c r="J16" s="15" t="n">
        <f aca="false">INDEX(Dados!$F:$F,MATCH(7,Dados!$O:$O,0))</f>
        <v>247100</v>
      </c>
      <c r="K16" s="16" t="n">
        <f aca="false">INDEX(Dados!$G:$G,MATCH(7,Dados!$O:$O,0))</f>
        <v>1100</v>
      </c>
      <c r="L16" s="17" t="n">
        <f aca="false">INDEX(Dados!$J:$J,MATCH(7,Dados!$O:$O,0))</f>
        <v>0.2176</v>
      </c>
    </row>
    <row r="17" customFormat="false" ht="15" hidden="false" customHeight="false" outlineLevel="0" collapsed="false">
      <c r="A17" s="8" t="str">
        <f aca="false">IF(8&lt;=12,"Onda 1 — testar agora",IF(8&lt;=40,"Onda 2 — próximos passos","Onda 3 — depois de consolidar"))</f>
        <v>Onda 1 — testar agora</v>
      </c>
      <c r="B17" s="8" t="str">
        <f aca="false">INDEX(Dados!$B:$B,MATCH(8,Dados!$O:$O,0))</f>
        <v>AL HARAMAIN</v>
      </c>
      <c r="C17" s="8" t="str">
        <f aca="false">INDEX(Dados!$C:$C,MATCH(8,Dados!$O:$O,0))</f>
        <v>Árabe/Import Acessível</v>
      </c>
      <c r="D17" s="8" t="str">
        <f aca="false">INDEX(Dados!$D:$D,MATCH(8,Dados!$O:$O,0))</f>
        <v>Não</v>
      </c>
      <c r="E17" s="13" t="n">
        <f aca="false">INDEX(Dados!$N:$N,MATCH(8,Dados!$O:$O,0))</f>
        <v>67.6072939184964</v>
      </c>
      <c r="F17" s="14" t="n">
        <f aca="false">INDEX(Dados!$H:$H,MATCH(8,Dados!$O:$O,0))</f>
        <v>321.20765832106</v>
      </c>
      <c r="G17" s="8" t="n">
        <f aca="false">INDEX(Dados!$K:$K,MATCH(8,Dados!$O:$O,0))</f>
        <v>68</v>
      </c>
      <c r="H17" s="8" t="str">
        <f aca="false">INDEX(Dados!$L:$L,MATCH(8,Dados!$O:$O,0))</f>
        <v>Baixa</v>
      </c>
      <c r="I17" s="8" t="str">
        <f aca="false">INDEX(Dados!$I:$I,MATCH(8,Dados!$O:$O,0))</f>
        <v>Crescendo</v>
      </c>
      <c r="J17" s="15" t="n">
        <f aca="false">INDEX(Dados!$F:$F,MATCH(8,Dados!$O:$O,0))</f>
        <v>218100</v>
      </c>
      <c r="K17" s="16" t="n">
        <f aca="false">INDEX(Dados!$G:$G,MATCH(8,Dados!$O:$O,0))</f>
        <v>679</v>
      </c>
      <c r="L17" s="17" t="n">
        <f aca="false">INDEX(Dados!$J:$J,MATCH(8,Dados!$O:$O,0))</f>
        <v>0.7247</v>
      </c>
    </row>
    <row r="18" customFormat="false" ht="15" hidden="false" customHeight="false" outlineLevel="0" collapsed="false">
      <c r="A18" s="8" t="str">
        <f aca="false">IF(9&lt;=12,"Onda 1 — testar agora",IF(9&lt;=40,"Onda 2 — próximos passos","Onda 3 — depois de consolidar"))</f>
        <v>Onda 1 — testar agora</v>
      </c>
      <c r="B18" s="8" t="str">
        <f aca="false">INDEX(Dados!$B:$B,MATCH(9,Dados!$O:$O,0))</f>
        <v>LESCENT</v>
      </c>
      <c r="C18" s="8" t="str">
        <f aca="false">INDEX(Dados!$C:$C,MATCH(9,Dados!$O:$O,0))</f>
        <v>A verificar</v>
      </c>
      <c r="D18" s="8" t="str">
        <f aca="false">INDEX(Dados!$D:$D,MATCH(9,Dados!$O:$O,0))</f>
        <v>Não</v>
      </c>
      <c r="E18" s="13" t="n">
        <f aca="false">INDEX(Dados!$N:$N,MATCH(9,Dados!$O:$O,0))</f>
        <v>65.7051025558739</v>
      </c>
      <c r="F18" s="14" t="n">
        <f aca="false">INDEX(Dados!$H:$H,MATCH(9,Dados!$O:$O,0))</f>
        <v>59.4335664335664</v>
      </c>
      <c r="G18" s="8" t="n">
        <f aca="false">INDEX(Dados!$K:$K,MATCH(9,Dados!$O:$O,0))</f>
        <v>6</v>
      </c>
      <c r="H18" s="8" t="str">
        <f aca="false">INDEX(Dados!$L:$L,MATCH(9,Dados!$O:$O,0))</f>
        <v>Baixa</v>
      </c>
      <c r="I18" s="8" t="str">
        <f aca="false">INDEX(Dados!$I:$I,MATCH(9,Dados!$O:$O,0))</f>
        <v>Crescendo</v>
      </c>
      <c r="J18" s="15" t="n">
        <f aca="false">INDEX(Dados!$F:$F,MATCH(9,Dados!$O:$O,0))</f>
        <v>849900</v>
      </c>
      <c r="K18" s="16" t="n">
        <f aca="false">INDEX(Dados!$G:$G,MATCH(9,Dados!$O:$O,0))</f>
        <v>14300</v>
      </c>
      <c r="L18" s="17" t="n">
        <f aca="false">INDEX(Dados!$J:$J,MATCH(9,Dados!$O:$O,0))</f>
        <v>0.5215</v>
      </c>
    </row>
    <row r="19" customFormat="false" ht="15" hidden="false" customHeight="false" outlineLevel="0" collapsed="false">
      <c r="A19" s="8" t="str">
        <f aca="false">IF(10&lt;=12,"Onda 1 — testar agora",IF(10&lt;=40,"Onda 2 — próximos passos","Onda 3 — depois de consolidar"))</f>
        <v>Onda 1 — testar agora</v>
      </c>
      <c r="B19" s="8" t="str">
        <f aca="false">INDEX(Dados!$B:$B,MATCH(10,Dados!$O:$O,0))</f>
        <v>FERRARI</v>
      </c>
      <c r="C19" s="8" t="str">
        <f aca="false">INDEX(Dados!$C:$C,MATCH(10,Dados!$O:$O,0))</f>
        <v>Designer/Importado</v>
      </c>
      <c r="D19" s="8" t="str">
        <f aca="false">INDEX(Dados!$D:$D,MATCH(10,Dados!$O:$O,0))</f>
        <v>Não</v>
      </c>
      <c r="E19" s="13" t="n">
        <f aca="false">INDEX(Dados!$N:$N,MATCH(10,Dados!$O:$O,0))</f>
        <v>65.3486064614855</v>
      </c>
      <c r="F19" s="14" t="n">
        <f aca="false">INDEX(Dados!$H:$H,MATCH(10,Dados!$O:$O,0))</f>
        <v>193.304347826087</v>
      </c>
      <c r="G19" s="8" t="n">
        <f aca="false">INDEX(Dados!$K:$K,MATCH(10,Dados!$O:$O,0))</f>
        <v>77</v>
      </c>
      <c r="H19" s="8" t="str">
        <f aca="false">INDEX(Dados!$L:$L,MATCH(10,Dados!$O:$O,0))</f>
        <v>Baixa</v>
      </c>
      <c r="I19" s="8" t="str">
        <f aca="false">INDEX(Dados!$I:$I,MATCH(10,Dados!$O:$O,0))</f>
        <v>Crescendo</v>
      </c>
      <c r="J19" s="15" t="n">
        <f aca="false">INDEX(Dados!$F:$F,MATCH(10,Dados!$O:$O,0))</f>
        <v>444600</v>
      </c>
      <c r="K19" s="16" t="n">
        <f aca="false">INDEX(Dados!$G:$G,MATCH(10,Dados!$O:$O,0))</f>
        <v>2300</v>
      </c>
      <c r="L19" s="17" t="n">
        <f aca="false">INDEX(Dados!$J:$J,MATCH(10,Dados!$O:$O,0))</f>
        <v>0.6234</v>
      </c>
    </row>
    <row r="20" customFormat="false" ht="15" hidden="false" customHeight="false" outlineLevel="0" collapsed="false">
      <c r="A20" s="8" t="str">
        <f aca="false">IF(11&lt;=12,"Onda 1 — testar agora",IF(11&lt;=40,"Onda 2 — próximos passos","Onda 3 — depois de consolidar"))</f>
        <v>Onda 1 — testar agora</v>
      </c>
      <c r="B20" s="8" t="str">
        <f aca="false">INDEX(Dados!$B:$B,MATCH(11,Dados!$O:$O,0))</f>
        <v>GRANADO</v>
      </c>
      <c r="C20" s="8" t="str">
        <f aca="false">INDEX(Dados!$C:$C,MATCH(11,Dados!$O:$O,0))</f>
        <v>Nacional/Massa</v>
      </c>
      <c r="D20" s="8" t="str">
        <f aca="false">INDEX(Dados!$D:$D,MATCH(11,Dados!$O:$O,0))</f>
        <v>Não</v>
      </c>
      <c r="E20" s="13" t="n">
        <f aca="false">INDEX(Dados!$N:$N,MATCH(11,Dados!$O:$O,0))</f>
        <v>65.1522448894757</v>
      </c>
      <c r="F20" s="14" t="n">
        <f aca="false">INDEX(Dados!$H:$H,MATCH(11,Dados!$O:$O,0))</f>
        <v>182.666666666667</v>
      </c>
      <c r="G20" s="8" t="n">
        <f aca="false">INDEX(Dados!$K:$K,MATCH(11,Dados!$O:$O,0))</f>
        <v>78</v>
      </c>
      <c r="H20" s="8" t="str">
        <f aca="false">INDEX(Dados!$L:$L,MATCH(11,Dados!$O:$O,0))</f>
        <v>Baixa</v>
      </c>
      <c r="I20" s="8" t="str">
        <f aca="false">INDEX(Dados!$I:$I,MATCH(11,Dados!$O:$O,0))</f>
        <v>Crescendo</v>
      </c>
      <c r="J20" s="15" t="n">
        <f aca="false">INDEX(Dados!$F:$F,MATCH(11,Dados!$O:$O,0))</f>
        <v>602800</v>
      </c>
      <c r="K20" s="16" t="n">
        <f aca="false">INDEX(Dados!$G:$G,MATCH(11,Dados!$O:$O,0))</f>
        <v>3300</v>
      </c>
      <c r="L20" s="17" t="n">
        <f aca="false">INDEX(Dados!$J:$J,MATCH(11,Dados!$O:$O,0))</f>
        <v>0.6229</v>
      </c>
    </row>
    <row r="21" customFormat="false" ht="15" hidden="false" customHeight="false" outlineLevel="0" collapsed="false">
      <c r="A21" s="8" t="str">
        <f aca="false">IF(12&lt;=12,"Onda 1 — testar agora",IF(12&lt;=40,"Onda 2 — próximos passos","Onda 3 — depois de consolidar"))</f>
        <v>Onda 1 — testar agora</v>
      </c>
      <c r="B21" s="8" t="str">
        <f aca="false">INDEX(Dados!$B:$B,MATCH(12,Dados!$O:$O,0))</f>
        <v>NARCISO RODRIGUEZ</v>
      </c>
      <c r="C21" s="8" t="str">
        <f aca="false">INDEX(Dados!$C:$C,MATCH(12,Dados!$O:$O,0))</f>
        <v>Designer/Importado</v>
      </c>
      <c r="D21" s="8" t="str">
        <f aca="false">INDEX(Dados!$D:$D,MATCH(12,Dados!$O:$O,0))</f>
        <v>Não</v>
      </c>
      <c r="E21" s="13" t="n">
        <f aca="false">INDEX(Dados!$N:$N,MATCH(12,Dados!$O:$O,0))</f>
        <v>63.7433005879166</v>
      </c>
      <c r="F21" s="14" t="n">
        <f aca="false">INDEX(Dados!$H:$H,MATCH(12,Dados!$O:$O,0))</f>
        <v>671.882640586797</v>
      </c>
      <c r="G21" s="8" t="n">
        <f aca="false">INDEX(Dados!$K:$K,MATCH(12,Dados!$O:$O,0))</f>
        <v>45</v>
      </c>
      <c r="H21" s="8" t="str">
        <f aca="false">INDEX(Dados!$L:$L,MATCH(12,Dados!$O:$O,0))</f>
        <v>Média</v>
      </c>
      <c r="I21" s="8" t="str">
        <f aca="false">INDEX(Dados!$I:$I,MATCH(12,Dados!$O:$O,0))</f>
        <v>Crescendo</v>
      </c>
      <c r="J21" s="15" t="n">
        <f aca="false">INDEX(Dados!$F:$F,MATCH(12,Dados!$O:$O,0))</f>
        <v>274800</v>
      </c>
      <c r="K21" s="16" t="n">
        <f aca="false">INDEX(Dados!$G:$G,MATCH(12,Dados!$O:$O,0))</f>
        <v>409</v>
      </c>
      <c r="L21" s="17" t="n">
        <f aca="false">INDEX(Dados!$J:$J,MATCH(12,Dados!$O:$O,0))</f>
        <v>0.6547</v>
      </c>
    </row>
    <row r="22" customFormat="false" ht="15" hidden="false" customHeight="false" outlineLevel="0" collapsed="false">
      <c r="A22" s="8" t="str">
        <f aca="false">IF(13&lt;=12,"Onda 1 — testar agora",IF(13&lt;=40,"Onda 2 — próximos passos","Onda 3 — depois de consolidar"))</f>
        <v>Onda 2 — próximos passos</v>
      </c>
      <c r="B22" s="8" t="str">
        <f aca="false">INDEX(Dados!$B:$B,MATCH(13,Dados!$O:$O,0))</f>
        <v>BRAND COLLECTION</v>
      </c>
      <c r="C22" s="8" t="str">
        <f aca="false">INDEX(Dados!$C:$C,MATCH(13,Dados!$O:$O,0))</f>
        <v>Nacional/Contratipo</v>
      </c>
      <c r="D22" s="8" t="str">
        <f aca="false">INDEX(Dados!$D:$D,MATCH(13,Dados!$O:$O,0))</f>
        <v>Não</v>
      </c>
      <c r="E22" s="13" t="n">
        <f aca="false">INDEX(Dados!$N:$N,MATCH(13,Dados!$O:$O,0))</f>
        <v>63.5100991737883</v>
      </c>
      <c r="F22" s="14" t="n">
        <f aca="false">INDEX(Dados!$H:$H,MATCH(13,Dados!$O:$O,0))</f>
        <v>57.4756097560976</v>
      </c>
      <c r="G22" s="8" t="n">
        <f aca="false">INDEX(Dados!$K:$K,MATCH(13,Dados!$O:$O,0))</f>
        <v>70</v>
      </c>
      <c r="H22" s="8" t="str">
        <f aca="false">INDEX(Dados!$L:$L,MATCH(13,Dados!$O:$O,0))</f>
        <v>Baixa</v>
      </c>
      <c r="I22" s="8" t="str">
        <f aca="false">INDEX(Dados!$I:$I,MATCH(13,Dados!$O:$O,0))</f>
        <v>Crescendo</v>
      </c>
      <c r="J22" s="15" t="n">
        <f aca="false">INDEX(Dados!$F:$F,MATCH(13,Dados!$O:$O,0))</f>
        <v>471300</v>
      </c>
      <c r="K22" s="16" t="n">
        <f aca="false">INDEX(Dados!$G:$G,MATCH(13,Dados!$O:$O,0))</f>
        <v>8200</v>
      </c>
      <c r="L22" s="17" t="n">
        <f aca="false">INDEX(Dados!$J:$J,MATCH(13,Dados!$O:$O,0))</f>
        <v>0.6627</v>
      </c>
    </row>
    <row r="23" customFormat="false" ht="15" hidden="false" customHeight="false" outlineLevel="0" collapsed="false">
      <c r="A23" s="8" t="str">
        <f aca="false">IF(14&lt;=12,"Onda 1 — testar agora",IF(14&lt;=40,"Onda 2 — próximos passos","Onda 3 — depois de consolidar"))</f>
        <v>Onda 2 — próximos passos</v>
      </c>
      <c r="B23" s="8" t="str">
        <f aca="false">INDEX(Dados!$B:$B,MATCH(14,Dados!$O:$O,0))</f>
        <v>BVLGARI</v>
      </c>
      <c r="C23" s="8" t="str">
        <f aca="false">INDEX(Dados!$C:$C,MATCH(14,Dados!$O:$O,0))</f>
        <v>Designer/Importado Premium</v>
      </c>
      <c r="D23" s="8" t="str">
        <f aca="false">INDEX(Dados!$D:$D,MATCH(14,Dados!$O:$O,0))</f>
        <v>Não</v>
      </c>
      <c r="E23" s="13" t="n">
        <f aca="false">INDEX(Dados!$N:$N,MATCH(14,Dados!$O:$O,0))</f>
        <v>62.7192327242121</v>
      </c>
      <c r="F23" s="14" t="n">
        <f aca="false">INDEX(Dados!$H:$H,MATCH(14,Dados!$O:$O,0))</f>
        <v>644.712041884817</v>
      </c>
      <c r="G23" s="8" t="n">
        <f aca="false">INDEX(Dados!$K:$K,MATCH(14,Dados!$O:$O,0))</f>
        <v>63</v>
      </c>
      <c r="H23" s="8" t="str">
        <f aca="false">INDEX(Dados!$L:$L,MATCH(14,Dados!$O:$O,0))</f>
        <v>Média</v>
      </c>
      <c r="I23" s="8" t="str">
        <f aca="false">INDEX(Dados!$I:$I,MATCH(14,Dados!$O:$O,0))</f>
        <v>Crescendo</v>
      </c>
      <c r="J23" s="15" t="n">
        <f aca="false">INDEX(Dados!$F:$F,MATCH(14,Dados!$O:$O,0))</f>
        <v>615700</v>
      </c>
      <c r="K23" s="16" t="n">
        <f aca="false">INDEX(Dados!$G:$G,MATCH(14,Dados!$O:$O,0))</f>
        <v>955</v>
      </c>
      <c r="L23" s="17" t="n">
        <f aca="false">INDEX(Dados!$J:$J,MATCH(14,Dados!$O:$O,0))</f>
        <v>0.6653</v>
      </c>
    </row>
    <row r="24" customFormat="false" ht="15" hidden="false" customHeight="false" outlineLevel="0" collapsed="false">
      <c r="A24" s="8" t="str">
        <f aca="false">IF(15&lt;=12,"Onda 1 — testar agora",IF(15&lt;=40,"Onda 2 — próximos passos","Onda 3 — depois de consolidar"))</f>
        <v>Onda 2 — próximos passos</v>
      </c>
      <c r="B24" s="8" t="str">
        <f aca="false">INDEX(Dados!$B:$B,MATCH(15,Dados!$O:$O,0))</f>
        <v>CHANEL</v>
      </c>
      <c r="C24" s="8" t="str">
        <f aca="false">INDEX(Dados!$C:$C,MATCH(15,Dados!$O:$O,0))</f>
        <v>Designer/Importado Premium</v>
      </c>
      <c r="D24" s="8" t="str">
        <f aca="false">INDEX(Dados!$D:$D,MATCH(15,Dados!$O:$O,0))</f>
        <v>Não</v>
      </c>
      <c r="E24" s="13" t="n">
        <f aca="false">INDEX(Dados!$N:$N,MATCH(15,Dados!$O:$O,0))</f>
        <v>58.5535961003913</v>
      </c>
      <c r="F24" s="14" t="n">
        <f aca="false">INDEX(Dados!$H:$H,MATCH(15,Dados!$O:$O,0))</f>
        <v>1000</v>
      </c>
      <c r="G24" s="8" t="n">
        <f aca="false">INDEX(Dados!$K:$K,MATCH(15,Dados!$O:$O,0))</f>
        <v>51</v>
      </c>
      <c r="H24" s="8" t="str">
        <f aca="false">INDEX(Dados!$L:$L,MATCH(15,Dados!$O:$O,0))</f>
        <v>Baixa</v>
      </c>
      <c r="I24" s="8" t="str">
        <f aca="false">INDEX(Dados!$I:$I,MATCH(15,Dados!$O:$O,0))</f>
        <v>Diminuindo</v>
      </c>
      <c r="J24" s="15" t="n">
        <f aca="false">INDEX(Dados!$F:$F,MATCH(15,Dados!$O:$O,0))</f>
        <v>1400000</v>
      </c>
      <c r="K24" s="16" t="n">
        <f aca="false">INDEX(Dados!$G:$G,MATCH(15,Dados!$O:$O,0))</f>
        <v>1400</v>
      </c>
      <c r="L24" s="17" t="n">
        <f aca="false">INDEX(Dados!$J:$J,MATCH(15,Dados!$O:$O,0))</f>
        <v>0.6857</v>
      </c>
    </row>
    <row r="25" customFormat="false" ht="15" hidden="false" customHeight="false" outlineLevel="0" collapsed="false">
      <c r="A25" s="8" t="str">
        <f aca="false">IF(16&lt;=12,"Onda 1 — testar agora",IF(16&lt;=40,"Onda 2 — próximos passos","Onda 3 — depois de consolidar"))</f>
        <v>Onda 2 — próximos passos</v>
      </c>
      <c r="B25" s="8" t="str">
        <f aca="false">INDEX(Dados!$B:$B,MATCH(16,Dados!$O:$O,0))</f>
        <v>ISSEY MIYAKE</v>
      </c>
      <c r="C25" s="8" t="str">
        <f aca="false">INDEX(Dados!$C:$C,MATCH(16,Dados!$O:$O,0))</f>
        <v>Designer/Importado</v>
      </c>
      <c r="D25" s="8" t="str">
        <f aca="false">INDEX(Dados!$D:$D,MATCH(16,Dados!$O:$O,0))</f>
        <v>Não</v>
      </c>
      <c r="E25" s="13" t="n">
        <f aca="false">INDEX(Dados!$N:$N,MATCH(16,Dados!$O:$O,0))</f>
        <v>58.3111188512082</v>
      </c>
      <c r="F25" s="14" t="n">
        <f aca="false">INDEX(Dados!$H:$H,MATCH(16,Dados!$O:$O,0))</f>
        <v>387.2</v>
      </c>
      <c r="G25" s="8" t="n">
        <f aca="false">INDEX(Dados!$K:$K,MATCH(16,Dados!$O:$O,0))</f>
        <v>77</v>
      </c>
      <c r="H25" s="8" t="str">
        <f aca="false">INDEX(Dados!$L:$L,MATCH(16,Dados!$O:$O,0))</f>
        <v>Média</v>
      </c>
      <c r="I25" s="8" t="str">
        <f aca="false">INDEX(Dados!$I:$I,MATCH(16,Dados!$O:$O,0))</f>
        <v>Crescendo</v>
      </c>
      <c r="J25" s="15" t="n">
        <f aca="false">INDEX(Dados!$F:$F,MATCH(16,Dados!$O:$O,0))</f>
        <v>968000</v>
      </c>
      <c r="K25" s="16" t="n">
        <f aca="false">INDEX(Dados!$G:$G,MATCH(16,Dados!$O:$O,0))</f>
        <v>2500</v>
      </c>
      <c r="L25" s="17" t="n">
        <f aca="false">INDEX(Dados!$J:$J,MATCH(16,Dados!$O:$O,0))</f>
        <v>0.7072</v>
      </c>
    </row>
    <row r="26" customFormat="false" ht="15" hidden="false" customHeight="false" outlineLevel="0" collapsed="false">
      <c r="A26" s="8" t="str">
        <f aca="false">IF(17&lt;=12,"Onda 1 — testar agora",IF(17&lt;=40,"Onda 2 — próximos passos","Onda 3 — depois de consolidar"))</f>
        <v>Onda 2 — próximos passos</v>
      </c>
      <c r="B26" s="8" t="str">
        <f aca="false">INDEX(Dados!$B:$B,MATCH(17,Dados!$O:$O,0))</f>
        <v>MOSCHINO</v>
      </c>
      <c r="C26" s="8" t="str">
        <f aca="false">INDEX(Dados!$C:$C,MATCH(17,Dados!$O:$O,0))</f>
        <v>Designer/Importado</v>
      </c>
      <c r="D26" s="8" t="str">
        <f aca="false">INDEX(Dados!$D:$D,MATCH(17,Dados!$O:$O,0))</f>
        <v>Não</v>
      </c>
      <c r="E26" s="13" t="n">
        <f aca="false">INDEX(Dados!$N:$N,MATCH(17,Dados!$O:$O,0))</f>
        <v>57.9655527417483</v>
      </c>
      <c r="F26" s="14" t="n">
        <f aca="false">INDEX(Dados!$H:$H,MATCH(17,Dados!$O:$O,0))</f>
        <v>322.514285714286</v>
      </c>
      <c r="G26" s="8" t="n">
        <f aca="false">INDEX(Dados!$K:$K,MATCH(17,Dados!$O:$O,0))</f>
        <v>58</v>
      </c>
      <c r="H26" s="8" t="str">
        <f aca="false">INDEX(Dados!$L:$L,MATCH(17,Dados!$O:$O,0))</f>
        <v>Média</v>
      </c>
      <c r="I26" s="8" t="str">
        <f aca="false">INDEX(Dados!$I:$I,MATCH(17,Dados!$O:$O,0))</f>
        <v>Crescendo</v>
      </c>
      <c r="J26" s="15" t="n">
        <f aca="false">INDEX(Dados!$F:$F,MATCH(17,Dados!$O:$O,0))</f>
        <v>282200</v>
      </c>
      <c r="K26" s="16" t="n">
        <f aca="false">INDEX(Dados!$G:$G,MATCH(17,Dados!$O:$O,0))</f>
        <v>875</v>
      </c>
      <c r="L26" s="17" t="n">
        <f aca="false">INDEX(Dados!$J:$J,MATCH(17,Dados!$O:$O,0))</f>
        <v>0.7136</v>
      </c>
    </row>
    <row r="27" customFormat="false" ht="15" hidden="false" customHeight="false" outlineLevel="0" collapsed="false">
      <c r="A27" s="8" t="str">
        <f aca="false">IF(18&lt;=12,"Onda 1 — testar agora",IF(18&lt;=40,"Onda 2 — próximos passos","Onda 3 — depois de consolidar"))</f>
        <v>Onda 2 — próximos passos</v>
      </c>
      <c r="B27" s="8" t="str">
        <f aca="false">INDEX(Dados!$B:$B,MATCH(18,Dados!$O:$O,0))</f>
        <v>TOMMY HILFIGER</v>
      </c>
      <c r="C27" s="8" t="str">
        <f aca="false">INDEX(Dados!$C:$C,MATCH(18,Dados!$O:$O,0))</f>
        <v>Designer/Importado</v>
      </c>
      <c r="D27" s="8" t="str">
        <f aca="false">INDEX(Dados!$D:$D,MATCH(18,Dados!$O:$O,0))</f>
        <v>Não</v>
      </c>
      <c r="E27" s="13" t="n">
        <f aca="false">INDEX(Dados!$N:$N,MATCH(18,Dados!$O:$O,0))</f>
        <v>57.6286069543374</v>
      </c>
      <c r="F27" s="14" t="n">
        <f aca="false">INDEX(Dados!$H:$H,MATCH(18,Dados!$O:$O,0))</f>
        <v>271.677559912854</v>
      </c>
      <c r="G27" s="8" t="n">
        <f aca="false">INDEX(Dados!$K:$K,MATCH(18,Dados!$O:$O,0))</f>
        <v>45</v>
      </c>
      <c r="H27" s="8" t="str">
        <f aca="false">INDEX(Dados!$L:$L,MATCH(18,Dados!$O:$O,0))</f>
        <v>Média</v>
      </c>
      <c r="I27" s="8" t="str">
        <f aca="false">INDEX(Dados!$I:$I,MATCH(18,Dados!$O:$O,0))</f>
        <v>Crescendo</v>
      </c>
      <c r="J27" s="15" t="n">
        <f aca="false">INDEX(Dados!$F:$F,MATCH(18,Dados!$O:$O,0))</f>
        <v>249400</v>
      </c>
      <c r="K27" s="16" t="n">
        <f aca="false">INDEX(Dados!$G:$G,MATCH(18,Dados!$O:$O,0))</f>
        <v>918</v>
      </c>
      <c r="L27" s="17" t="n">
        <f aca="false">INDEX(Dados!$J:$J,MATCH(18,Dados!$O:$O,0))</f>
        <v>0.6894</v>
      </c>
    </row>
    <row r="28" customFormat="false" ht="15" hidden="false" customHeight="false" outlineLevel="0" collapsed="false">
      <c r="A28" s="8" t="str">
        <f aca="false">IF(19&lt;=12,"Onda 1 — testar agora",IF(19&lt;=40,"Onda 2 — próximos passos","Onda 3 — depois de consolidar"))</f>
        <v>Onda 2 — próximos passos</v>
      </c>
      <c r="B28" s="8" t="str">
        <f aca="false">INDEX(Dados!$B:$B,MATCH(19,Dados!$O:$O,0))</f>
        <v>LAB 8 FRAGRANCES</v>
      </c>
      <c r="C28" s="8" t="str">
        <f aca="false">INDEX(Dados!$C:$C,MATCH(19,Dados!$O:$O,0))</f>
        <v>A verificar</v>
      </c>
      <c r="D28" s="8" t="str">
        <f aca="false">INDEX(Dados!$D:$D,MATCH(19,Dados!$O:$O,0))</f>
        <v>Não</v>
      </c>
      <c r="E28" s="13" t="n">
        <f aca="false">INDEX(Dados!$N:$N,MATCH(19,Dados!$O:$O,0))</f>
        <v>56.5462406248019</v>
      </c>
      <c r="F28" s="14" t="n">
        <f aca="false">INDEX(Dados!$H:$H,MATCH(19,Dados!$O:$O,0))</f>
        <v>178.695652173913</v>
      </c>
      <c r="G28" s="8" t="n">
        <f aca="false">INDEX(Dados!$K:$K,MATCH(19,Dados!$O:$O,0))</f>
        <v>35</v>
      </c>
      <c r="H28" s="8" t="str">
        <f aca="false">INDEX(Dados!$L:$L,MATCH(19,Dados!$O:$O,0))</f>
        <v>Média</v>
      </c>
      <c r="I28" s="8" t="str">
        <f aca="false">INDEX(Dados!$I:$I,MATCH(19,Dados!$O:$O,0))</f>
        <v>Crescendo</v>
      </c>
      <c r="J28" s="15" t="n">
        <f aca="false">INDEX(Dados!$F:$F,MATCH(19,Dados!$O:$O,0))</f>
        <v>411000</v>
      </c>
      <c r="K28" s="16" t="n">
        <f aca="false">INDEX(Dados!$G:$G,MATCH(19,Dados!$O:$O,0))</f>
        <v>2300</v>
      </c>
      <c r="L28" s="17" t="n">
        <f aca="false">INDEX(Dados!$J:$J,MATCH(19,Dados!$O:$O,0))</f>
        <v>0.5849</v>
      </c>
    </row>
    <row r="29" customFormat="false" ht="15" hidden="false" customHeight="false" outlineLevel="0" collapsed="false">
      <c r="A29" s="8" t="str">
        <f aca="false">IF(20&lt;=12,"Onda 1 — testar agora",IF(20&lt;=40,"Onda 2 — próximos passos","Onda 3 — depois de consolidar"))</f>
        <v>Onda 2 — próximos passos</v>
      </c>
      <c r="B29" s="8" t="str">
        <f aca="false">INDEX(Dados!$B:$B,MATCH(20,Dados!$O:$O,0))</f>
        <v>ANIMALE</v>
      </c>
      <c r="C29" s="8" t="str">
        <f aca="false">INDEX(Dados!$C:$C,MATCH(20,Dados!$O:$O,0))</f>
        <v>Designer/Importado</v>
      </c>
      <c r="D29" s="8" t="str">
        <f aca="false">INDEX(Dados!$D:$D,MATCH(20,Dados!$O:$O,0))</f>
        <v>Não</v>
      </c>
      <c r="E29" s="13" t="n">
        <f aca="false">INDEX(Dados!$N:$N,MATCH(20,Dados!$O:$O,0))</f>
        <v>55.7210021652553</v>
      </c>
      <c r="F29" s="14" t="n">
        <f aca="false">INDEX(Dados!$H:$H,MATCH(20,Dados!$O:$O,0))</f>
        <v>233.176470588235</v>
      </c>
      <c r="G29" s="8" t="n">
        <f aca="false">INDEX(Dados!$K:$K,MATCH(20,Dados!$O:$O,0))</f>
        <v>84</v>
      </c>
      <c r="H29" s="8" t="str">
        <f aca="false">INDEX(Dados!$L:$L,MATCH(20,Dados!$O:$O,0))</f>
        <v>Média</v>
      </c>
      <c r="I29" s="8" t="str">
        <f aca="false">INDEX(Dados!$I:$I,MATCH(20,Dados!$O:$O,0))</f>
        <v>Crescendo</v>
      </c>
      <c r="J29" s="15" t="n">
        <f aca="false">INDEX(Dados!$F:$F,MATCH(20,Dados!$O:$O,0))</f>
        <v>396400</v>
      </c>
      <c r="K29" s="16" t="n">
        <f aca="false">INDEX(Dados!$G:$G,MATCH(20,Dados!$O:$O,0))</f>
        <v>1700</v>
      </c>
      <c r="L29" s="17" t="n">
        <f aca="false">INDEX(Dados!$J:$J,MATCH(20,Dados!$O:$O,0))</f>
        <v>0.5472</v>
      </c>
    </row>
    <row r="30" customFormat="false" ht="15" hidden="false" customHeight="false" outlineLevel="0" collapsed="false">
      <c r="A30" s="8" t="str">
        <f aca="false">IF(21&lt;=12,"Onda 1 — testar agora",IF(21&lt;=40,"Onda 2 — próximos passos","Onda 3 — depois de consolidar"))</f>
        <v>Onda 2 — próximos passos</v>
      </c>
      <c r="B30" s="8" t="str">
        <f aca="false">INDEX(Dados!$B:$B,MATCH(21,Dados!$O:$O,0))</f>
        <v>PARIS CORNER</v>
      </c>
      <c r="C30" s="8" t="str">
        <f aca="false">INDEX(Dados!$C:$C,MATCH(21,Dados!$O:$O,0))</f>
        <v>Árabe/Import Acessível</v>
      </c>
      <c r="D30" s="8" t="str">
        <f aca="false">INDEX(Dados!$D:$D,MATCH(21,Dados!$O:$O,0))</f>
        <v>Não</v>
      </c>
      <c r="E30" s="13" t="n">
        <f aca="false">INDEX(Dados!$N:$N,MATCH(21,Dados!$O:$O,0))</f>
        <v>55.6804334655231</v>
      </c>
      <c r="F30" s="14" t="n">
        <f aca="false">INDEX(Dados!$H:$H,MATCH(21,Dados!$O:$O,0))</f>
        <v>265.947368421053</v>
      </c>
      <c r="G30" s="8" t="n">
        <f aca="false">INDEX(Dados!$K:$K,MATCH(21,Dados!$O:$O,0))</f>
        <v>100</v>
      </c>
      <c r="H30" s="8" t="str">
        <f aca="false">INDEX(Dados!$L:$L,MATCH(21,Dados!$O:$O,0))</f>
        <v>Média</v>
      </c>
      <c r="I30" s="8" t="str">
        <f aca="false">INDEX(Dados!$I:$I,MATCH(21,Dados!$O:$O,0))</f>
        <v>Crescendo</v>
      </c>
      <c r="J30" s="15" t="n">
        <f aca="false">INDEX(Dados!$F:$F,MATCH(21,Dados!$O:$O,0))</f>
        <v>505300</v>
      </c>
      <c r="K30" s="16" t="n">
        <f aca="false">INDEX(Dados!$G:$G,MATCH(21,Dados!$O:$O,0))</f>
        <v>1900</v>
      </c>
      <c r="L30" s="17" t="n">
        <f aca="false">INDEX(Dados!$J:$J,MATCH(21,Dados!$O:$O,0))</f>
        <v>0.7238</v>
      </c>
    </row>
    <row r="31" customFormat="false" ht="15" hidden="false" customHeight="false" outlineLevel="0" collapsed="false">
      <c r="A31" s="8" t="str">
        <f aca="false">IF(22&lt;=12,"Onda 1 — testar agora",IF(22&lt;=40,"Onda 2 — próximos passos","Onda 3 — depois de consolidar"))</f>
        <v>Onda 2 — próximos passos</v>
      </c>
      <c r="B31" s="8" t="str">
        <f aca="false">INDEX(Dados!$B:$B,MATCH(22,Dados!$O:$O,0))</f>
        <v>AFNAN</v>
      </c>
      <c r="C31" s="8" t="str">
        <f aca="false">INDEX(Dados!$C:$C,MATCH(22,Dados!$O:$O,0))</f>
        <v>Árabe/Import Acessível</v>
      </c>
      <c r="D31" s="8" t="str">
        <f aca="false">INDEX(Dados!$D:$D,MATCH(22,Dados!$O:$O,0))</f>
        <v>Não</v>
      </c>
      <c r="E31" s="13" t="n">
        <f aca="false">INDEX(Dados!$N:$N,MATCH(22,Dados!$O:$O,0))</f>
        <v>55.0862009554304</v>
      </c>
      <c r="F31" s="14" t="n">
        <f aca="false">INDEX(Dados!$H:$H,MATCH(22,Dados!$O:$O,0))</f>
        <v>333.333333333333</v>
      </c>
      <c r="G31" s="8" t="n">
        <f aca="false">INDEX(Dados!$K:$K,MATCH(22,Dados!$O:$O,0))</f>
        <v>148</v>
      </c>
      <c r="H31" s="8" t="str">
        <f aca="false">INDEX(Dados!$L:$L,MATCH(22,Dados!$O:$O,0))</f>
        <v>Média</v>
      </c>
      <c r="I31" s="8" t="str">
        <f aca="false">INDEX(Dados!$I:$I,MATCH(22,Dados!$O:$O,0))</f>
        <v>Crescendo</v>
      </c>
      <c r="J31" s="15" t="n">
        <f aca="false">INDEX(Dados!$F:$F,MATCH(22,Dados!$O:$O,0))</f>
        <v>1600000</v>
      </c>
      <c r="K31" s="16" t="n">
        <f aca="false">INDEX(Dados!$G:$G,MATCH(22,Dados!$O:$O,0))</f>
        <v>4800</v>
      </c>
      <c r="L31" s="17" t="n">
        <f aca="false">INDEX(Dados!$J:$J,MATCH(22,Dados!$O:$O,0))</f>
        <v>0.6917</v>
      </c>
    </row>
    <row r="32" customFormat="false" ht="15" hidden="false" customHeight="false" outlineLevel="0" collapsed="false">
      <c r="A32" s="8" t="str">
        <f aca="false">IF(23&lt;=12,"Onda 1 — testar agora",IF(23&lt;=40,"Onda 2 — próximos passos","Onda 3 — depois de consolidar"))</f>
        <v>Onda 2 — próximos passos</v>
      </c>
      <c r="B32" s="8" t="str">
        <f aca="false">INDEX(Dados!$B:$B,MATCH(23,Dados!$O:$O,0))</f>
        <v>RAYHAAN</v>
      </c>
      <c r="C32" s="8" t="str">
        <f aca="false">INDEX(Dados!$C:$C,MATCH(23,Dados!$O:$O,0))</f>
        <v>Árabe/Import Acessível</v>
      </c>
      <c r="D32" s="8" t="str">
        <f aca="false">INDEX(Dados!$D:$D,MATCH(23,Dados!$O:$O,0))</f>
        <v>Não</v>
      </c>
      <c r="E32" s="13" t="n">
        <f aca="false">INDEX(Dados!$N:$N,MATCH(23,Dados!$O:$O,0))</f>
        <v>54.94717456678</v>
      </c>
      <c r="F32" s="14" t="n">
        <f aca="false">INDEX(Dados!$H:$H,MATCH(23,Dados!$O:$O,0))</f>
        <v>266.666666666667</v>
      </c>
      <c r="G32" s="8" t="n">
        <f aca="false">INDEX(Dados!$K:$K,MATCH(23,Dados!$O:$O,0))</f>
        <v>122</v>
      </c>
      <c r="H32" s="8" t="str">
        <f aca="false">INDEX(Dados!$L:$L,MATCH(23,Dados!$O:$O,0))</f>
        <v>Média</v>
      </c>
      <c r="I32" s="8" t="str">
        <f aca="false">INDEX(Dados!$I:$I,MATCH(23,Dados!$O:$O,0))</f>
        <v>Crescendo</v>
      </c>
      <c r="J32" s="15" t="n">
        <f aca="false">INDEX(Dados!$F:$F,MATCH(23,Dados!$O:$O,0))</f>
        <v>1200000</v>
      </c>
      <c r="K32" s="16" t="n">
        <f aca="false">INDEX(Dados!$G:$G,MATCH(23,Dados!$O:$O,0))</f>
        <v>4500</v>
      </c>
      <c r="L32" s="17" t="n">
        <f aca="false">INDEX(Dados!$J:$J,MATCH(23,Dados!$O:$O,0))</f>
        <v>0.6679</v>
      </c>
    </row>
    <row r="33" customFormat="false" ht="15" hidden="false" customHeight="false" outlineLevel="0" collapsed="false">
      <c r="A33" s="8" t="str">
        <f aca="false">IF(24&lt;=12,"Onda 1 — testar agora",IF(24&lt;=40,"Onda 2 — próximos passos","Onda 3 — depois de consolidar"))</f>
        <v>Onda 2 — próximos passos</v>
      </c>
      <c r="B33" s="8" t="str">
        <f aca="false">INDEX(Dados!$B:$B,MATCH(24,Dados!$O:$O,0))</f>
        <v>RASASI</v>
      </c>
      <c r="C33" s="8" t="str">
        <f aca="false">INDEX(Dados!$C:$C,MATCH(24,Dados!$O:$O,0))</f>
        <v>Árabe/Import Acessível</v>
      </c>
      <c r="D33" s="8" t="str">
        <f aca="false">INDEX(Dados!$D:$D,MATCH(24,Dados!$O:$O,0))</f>
        <v>Não</v>
      </c>
      <c r="E33" s="13" t="n">
        <f aca="false">INDEX(Dados!$N:$N,MATCH(24,Dados!$O:$O,0))</f>
        <v>54.7227523860958</v>
      </c>
      <c r="F33" s="14" t="n">
        <f aca="false">INDEX(Dados!$H:$H,MATCH(24,Dados!$O:$O,0))</f>
        <v>258.620689655172</v>
      </c>
      <c r="G33" s="8" t="n">
        <f aca="false">INDEX(Dados!$K:$K,MATCH(24,Dados!$O:$O,0))</f>
        <v>125</v>
      </c>
      <c r="H33" s="8" t="str">
        <f aca="false">INDEX(Dados!$L:$L,MATCH(24,Dados!$O:$O,0))</f>
        <v>Média</v>
      </c>
      <c r="I33" s="8" t="str">
        <f aca="false">INDEX(Dados!$I:$I,MATCH(24,Dados!$O:$O,0))</f>
        <v>Crescendo</v>
      </c>
      <c r="J33" s="15" t="n">
        <f aca="false">INDEX(Dados!$F:$F,MATCH(24,Dados!$O:$O,0))</f>
        <v>1500000</v>
      </c>
      <c r="K33" s="16" t="n">
        <f aca="false">INDEX(Dados!$G:$G,MATCH(24,Dados!$O:$O,0))</f>
        <v>5800</v>
      </c>
      <c r="L33" s="17" t="n">
        <f aca="false">INDEX(Dados!$J:$J,MATCH(24,Dados!$O:$O,0))</f>
        <v>0.6473</v>
      </c>
    </row>
    <row r="34" customFormat="false" ht="15" hidden="false" customHeight="false" outlineLevel="0" collapsed="false">
      <c r="A34" s="8" t="str">
        <f aca="false">IF(25&lt;=12,"Onda 1 — testar agora",IF(25&lt;=40,"Onda 2 — próximos passos","Onda 3 — depois de consolidar"))</f>
        <v>Onda 2 — próximos passos</v>
      </c>
      <c r="B34" s="8" t="str">
        <f aca="false">INDEX(Dados!$B:$B,MATCH(25,Dados!$O:$O,0))</f>
        <v>PHEBO</v>
      </c>
      <c r="C34" s="8" t="str">
        <f aca="false">INDEX(Dados!$C:$C,MATCH(25,Dados!$O:$O,0))</f>
        <v>Nacional/Massa</v>
      </c>
      <c r="D34" s="8" t="str">
        <f aca="false">INDEX(Dados!$D:$D,MATCH(25,Dados!$O:$O,0))</f>
        <v>Não</v>
      </c>
      <c r="E34" s="13" t="n">
        <f aca="false">INDEX(Dados!$N:$N,MATCH(25,Dados!$O:$O,0))</f>
        <v>54.5977651008745</v>
      </c>
      <c r="F34" s="14" t="n">
        <f aca="false">INDEX(Dados!$H:$H,MATCH(25,Dados!$O:$O,0))</f>
        <v>106.521739130435</v>
      </c>
      <c r="G34" s="8" t="n">
        <f aca="false">INDEX(Dados!$K:$K,MATCH(25,Dados!$O:$O,0))</f>
        <v>60</v>
      </c>
      <c r="H34" s="8" t="str">
        <f aca="false">INDEX(Dados!$L:$L,MATCH(25,Dados!$O:$O,0))</f>
        <v>Média</v>
      </c>
      <c r="I34" s="8" t="str">
        <f aca="false">INDEX(Dados!$I:$I,MATCH(25,Dados!$O:$O,0))</f>
        <v>Crescendo</v>
      </c>
      <c r="J34" s="15" t="n">
        <f aca="false">INDEX(Dados!$F:$F,MATCH(25,Dados!$O:$O,0))</f>
        <v>245000</v>
      </c>
      <c r="K34" s="16" t="n">
        <f aca="false">INDEX(Dados!$G:$G,MATCH(25,Dados!$O:$O,0))</f>
        <v>2300</v>
      </c>
      <c r="L34" s="17" t="n">
        <f aca="false">INDEX(Dados!$J:$J,MATCH(25,Dados!$O:$O,0))</f>
        <v>0.5217</v>
      </c>
    </row>
    <row r="35" customFormat="false" ht="15" hidden="false" customHeight="false" outlineLevel="0" collapsed="false">
      <c r="A35" s="8" t="str">
        <f aca="false">IF(26&lt;=12,"Onda 1 — testar agora",IF(26&lt;=40,"Onda 2 — próximos passos","Onda 3 — depois de consolidar"))</f>
        <v>Onda 2 — próximos passos</v>
      </c>
      <c r="B35" s="8" t="str">
        <f aca="false">INDEX(Dados!$B:$B,MATCH(26,Dados!$O:$O,0))</f>
        <v>DIOR</v>
      </c>
      <c r="C35" s="8" t="str">
        <f aca="false">INDEX(Dados!$C:$C,MATCH(26,Dados!$O:$O,0))</f>
        <v>Designer/Importado Premium</v>
      </c>
      <c r="D35" s="8" t="str">
        <f aca="false">INDEX(Dados!$D:$D,MATCH(26,Dados!$O:$O,0))</f>
        <v>Não</v>
      </c>
      <c r="E35" s="13" t="n">
        <f aca="false">INDEX(Dados!$N:$N,MATCH(26,Dados!$O:$O,0))</f>
        <v>54.2787178811193</v>
      </c>
      <c r="F35" s="14" t="n">
        <f aca="false">INDEX(Dados!$H:$H,MATCH(26,Dados!$O:$O,0))</f>
        <v>777.777777777778</v>
      </c>
      <c r="G35" s="8" t="n">
        <f aca="false">INDEX(Dados!$K:$K,MATCH(26,Dados!$O:$O,0))</f>
        <v>77</v>
      </c>
      <c r="H35" s="8" t="str">
        <f aca="false">INDEX(Dados!$L:$L,MATCH(26,Dados!$O:$O,0))</f>
        <v>Baixa</v>
      </c>
      <c r="I35" s="8" t="str">
        <f aca="false">INDEX(Dados!$I:$I,MATCH(26,Dados!$O:$O,0))</f>
        <v>Diminuindo</v>
      </c>
      <c r="J35" s="15" t="n">
        <f aca="false">INDEX(Dados!$F:$F,MATCH(26,Dados!$O:$O,0))</f>
        <v>2100000</v>
      </c>
      <c r="K35" s="16" t="n">
        <f aca="false">INDEX(Dados!$G:$G,MATCH(26,Dados!$O:$O,0))</f>
        <v>2700</v>
      </c>
      <c r="L35" s="17" t="n">
        <f aca="false">INDEX(Dados!$J:$J,MATCH(26,Dados!$O:$O,0))</f>
        <v>0.8113</v>
      </c>
    </row>
    <row r="36" customFormat="false" ht="15" hidden="false" customHeight="false" outlineLevel="0" collapsed="false">
      <c r="A36" s="8" t="str">
        <f aca="false">IF(27&lt;=12,"Onda 1 — testar agora",IF(27&lt;=40,"Onda 2 — próximos passos","Onda 3 — depois de consolidar"))</f>
        <v>Onda 2 — próximos passos</v>
      </c>
      <c r="B36" s="8" t="str">
        <f aca="false">INDEX(Dados!$B:$B,MATCH(27,Dados!$O:$O,0))</f>
        <v>JEAN PAUL GAULTIER</v>
      </c>
      <c r="C36" s="8" t="str">
        <f aca="false">INDEX(Dados!$C:$C,MATCH(27,Dados!$O:$O,0))</f>
        <v>Designer/Importado</v>
      </c>
      <c r="D36" s="8" t="str">
        <f aca="false">INDEX(Dados!$D:$D,MATCH(27,Dados!$O:$O,0))</f>
        <v>Não</v>
      </c>
      <c r="E36" s="13" t="n">
        <f aca="false">INDEX(Dados!$N:$N,MATCH(27,Dados!$O:$O,0))</f>
        <v>53.8481233242502</v>
      </c>
      <c r="F36" s="14" t="n">
        <f aca="false">INDEX(Dados!$H:$H,MATCH(27,Dados!$O:$O,0))</f>
        <v>638.888888888889</v>
      </c>
      <c r="G36" s="8" t="n">
        <f aca="false">INDEX(Dados!$K:$K,MATCH(27,Dados!$O:$O,0))</f>
        <v>27</v>
      </c>
      <c r="H36" s="8" t="str">
        <f aca="false">INDEX(Dados!$L:$L,MATCH(27,Dados!$O:$O,0))</f>
        <v>Alta</v>
      </c>
      <c r="I36" s="8" t="str">
        <f aca="false">INDEX(Dados!$I:$I,MATCH(27,Dados!$O:$O,0))</f>
        <v>Crescendo</v>
      </c>
      <c r="J36" s="15" t="n">
        <f aca="false">INDEX(Dados!$F:$F,MATCH(27,Dados!$O:$O,0))</f>
        <v>4600000</v>
      </c>
      <c r="K36" s="16" t="n">
        <f aca="false">INDEX(Dados!$G:$G,MATCH(27,Dados!$O:$O,0))</f>
        <v>7200</v>
      </c>
      <c r="L36" s="17" t="n">
        <f aca="false">INDEX(Dados!$J:$J,MATCH(27,Dados!$O:$O,0))</f>
        <v>0.7093</v>
      </c>
    </row>
    <row r="37" customFormat="false" ht="15" hidden="false" customHeight="false" outlineLevel="0" collapsed="false">
      <c r="A37" s="8" t="str">
        <f aca="false">IF(28&lt;=12,"Onda 1 — testar agora",IF(28&lt;=40,"Onda 2 — próximos passos","Onda 3 — depois de consolidar"))</f>
        <v>Onda 2 — próximos passos</v>
      </c>
      <c r="B37" s="8" t="str">
        <f aca="false">INDEX(Dados!$B:$B,MATCH(28,Dados!$O:$O,0))</f>
        <v>ERIAN</v>
      </c>
      <c r="C37" s="8" t="str">
        <f aca="false">INDEX(Dados!$C:$C,MATCH(28,Dados!$O:$O,0))</f>
        <v>A verificar</v>
      </c>
      <c r="D37" s="8" t="str">
        <f aca="false">INDEX(Dados!$D:$D,MATCH(28,Dados!$O:$O,0))</f>
        <v>Não</v>
      </c>
      <c r="E37" s="13" t="n">
        <f aca="false">INDEX(Dados!$N:$N,MATCH(28,Dados!$O:$O,0))</f>
        <v>53.7224100269113</v>
      </c>
      <c r="F37" s="14" t="n">
        <f aca="false">INDEX(Dados!$H:$H,MATCH(28,Dados!$O:$O,0))</f>
        <v>575.307692307692</v>
      </c>
      <c r="G37" s="8" t="n">
        <f aca="false">INDEX(Dados!$K:$K,MATCH(28,Dados!$O:$O,0))</f>
        <v>2</v>
      </c>
      <c r="H37" s="8" t="str">
        <f aca="false">INDEX(Dados!$L:$L,MATCH(28,Dados!$O:$O,0))</f>
        <v>Alta</v>
      </c>
      <c r="I37" s="8" t="str">
        <f aca="false">INDEX(Dados!$I:$I,MATCH(28,Dados!$O:$O,0))</f>
        <v>Crescendo</v>
      </c>
      <c r="J37" s="15" t="n">
        <f aca="false">INDEX(Dados!$F:$F,MATCH(28,Dados!$O:$O,0))</f>
        <v>747900</v>
      </c>
      <c r="K37" s="16" t="n">
        <f aca="false">INDEX(Dados!$G:$G,MATCH(28,Dados!$O:$O,0))</f>
        <v>1300</v>
      </c>
      <c r="L37" s="17" t="n">
        <f aca="false">INDEX(Dados!$J:$J,MATCH(28,Dados!$O:$O,0))</f>
        <v>0.8462</v>
      </c>
    </row>
    <row r="38" customFormat="false" ht="15" hidden="false" customHeight="false" outlineLevel="0" collapsed="false">
      <c r="A38" s="8" t="str">
        <f aca="false">IF(29&lt;=12,"Onda 1 — testar agora",IF(29&lt;=40,"Onda 2 — próximos passos","Onda 3 — depois de consolidar"))</f>
        <v>Onda 2 — próximos passos</v>
      </c>
      <c r="B38" s="8" t="str">
        <f aca="false">INDEX(Dados!$B:$B,MATCH(29,Dados!$O:$O,0))</f>
        <v>ARMANI BEAUTY</v>
      </c>
      <c r="C38" s="8" t="str">
        <f aca="false">INDEX(Dados!$C:$C,MATCH(29,Dados!$O:$O,0))</f>
        <v>Designer/Importado</v>
      </c>
      <c r="D38" s="8" t="str">
        <f aca="false">INDEX(Dados!$D:$D,MATCH(29,Dados!$O:$O,0))</f>
        <v>Não</v>
      </c>
      <c r="E38" s="13" t="n">
        <f aca="false">INDEX(Dados!$N:$N,MATCH(29,Dados!$O:$O,0))</f>
        <v>53.7069401774494</v>
      </c>
      <c r="F38" s="14" t="n">
        <f aca="false">INDEX(Dados!$H:$H,MATCH(29,Dados!$O:$O,0))</f>
        <v>585.365853658537</v>
      </c>
      <c r="G38" s="8" t="n">
        <f aca="false">INDEX(Dados!$K:$K,MATCH(29,Dados!$O:$O,0))</f>
        <v>7</v>
      </c>
      <c r="H38" s="8" t="str">
        <f aca="false">INDEX(Dados!$L:$L,MATCH(29,Dados!$O:$O,0))</f>
        <v>Alta</v>
      </c>
      <c r="I38" s="8" t="str">
        <f aca="false">INDEX(Dados!$I:$I,MATCH(29,Dados!$O:$O,0))</f>
        <v>Crescendo</v>
      </c>
      <c r="J38" s="15" t="n">
        <f aca="false">INDEX(Dados!$F:$F,MATCH(29,Dados!$O:$O,0))</f>
        <v>2400000</v>
      </c>
      <c r="K38" s="16" t="n">
        <f aca="false">INDEX(Dados!$G:$G,MATCH(29,Dados!$O:$O,0))</f>
        <v>4100</v>
      </c>
      <c r="L38" s="17" t="n">
        <f aca="false">INDEX(Dados!$J:$J,MATCH(29,Dados!$O:$O,0))</f>
        <v>0.5539</v>
      </c>
    </row>
    <row r="39" customFormat="false" ht="15" hidden="false" customHeight="false" outlineLevel="0" collapsed="false">
      <c r="A39" s="8" t="str">
        <f aca="false">IF(30&lt;=12,"Onda 1 — testar agora",IF(30&lt;=40,"Onda 2 — próximos passos","Onda 3 — depois de consolidar"))</f>
        <v>Onda 2 — próximos passos</v>
      </c>
      <c r="B39" s="8" t="str">
        <f aca="false">INDEX(Dados!$B:$B,MATCH(30,Dados!$O:$O,0))</f>
        <v>PRADA</v>
      </c>
      <c r="C39" s="8" t="str">
        <f aca="false">INDEX(Dados!$C:$C,MATCH(30,Dados!$O:$O,0))</f>
        <v>Designer/Importado</v>
      </c>
      <c r="D39" s="8" t="str">
        <f aca="false">INDEX(Dados!$D:$D,MATCH(30,Dados!$O:$O,0))</f>
        <v>Não</v>
      </c>
      <c r="E39" s="13" t="n">
        <f aca="false">INDEX(Dados!$N:$N,MATCH(30,Dados!$O:$O,0))</f>
        <v>53.6666965671673</v>
      </c>
      <c r="F39" s="14" t="n">
        <f aca="false">INDEX(Dados!$H:$H,MATCH(30,Dados!$O:$O,0))</f>
        <v>722.222222222222</v>
      </c>
      <c r="G39" s="8" t="n">
        <f aca="false">INDEX(Dados!$K:$K,MATCH(30,Dados!$O:$O,0))</f>
        <v>70</v>
      </c>
      <c r="H39" s="8" t="str">
        <f aca="false">INDEX(Dados!$L:$L,MATCH(30,Dados!$O:$O,0))</f>
        <v>Média</v>
      </c>
      <c r="I39" s="8" t="str">
        <f aca="false">INDEX(Dados!$I:$I,MATCH(30,Dados!$O:$O,0))</f>
        <v>Estável</v>
      </c>
      <c r="J39" s="15" t="n">
        <f aca="false">INDEX(Dados!$F:$F,MATCH(30,Dados!$O:$O,0))</f>
        <v>1300000</v>
      </c>
      <c r="K39" s="16" t="n">
        <f aca="false">INDEX(Dados!$G:$G,MATCH(30,Dados!$O:$O,0))</f>
        <v>1800</v>
      </c>
      <c r="L39" s="17" t="n">
        <f aca="false">INDEX(Dados!$J:$J,MATCH(30,Dados!$O:$O,0))</f>
        <v>0.7171</v>
      </c>
    </row>
    <row r="40" customFormat="false" ht="15" hidden="false" customHeight="false" outlineLevel="0" collapsed="false">
      <c r="A40" s="8" t="str">
        <f aca="false">IF(31&lt;=12,"Onda 1 — testar agora",IF(31&lt;=40,"Onda 2 — próximos passos","Onda 3 — depois de consolidar"))</f>
        <v>Onda 2 — próximos passos</v>
      </c>
      <c r="B40" s="8" t="str">
        <f aca="false">INDEX(Dados!$B:$B,MATCH(31,Dados!$O:$O,0))</f>
        <v>RABANNE</v>
      </c>
      <c r="C40" s="8" t="str">
        <f aca="false">INDEX(Dados!$C:$C,MATCH(31,Dados!$O:$O,0))</f>
        <v>Designer/Importado</v>
      </c>
      <c r="D40" s="8" t="str">
        <f aca="false">INDEX(Dados!$D:$D,MATCH(31,Dados!$O:$O,0))</f>
        <v>Não</v>
      </c>
      <c r="E40" s="13" t="n">
        <f aca="false">INDEX(Dados!$N:$N,MATCH(31,Dados!$O:$O,0))</f>
        <v>52.6946967722658</v>
      </c>
      <c r="F40" s="14" t="n">
        <f aca="false">INDEX(Dados!$H:$H,MATCH(31,Dados!$O:$O,0))</f>
        <v>574.468085106383</v>
      </c>
      <c r="G40" s="8" t="n">
        <f aca="false">INDEX(Dados!$K:$K,MATCH(31,Dados!$O:$O,0))</f>
        <v>32</v>
      </c>
      <c r="H40" s="8" t="str">
        <f aca="false">INDEX(Dados!$L:$L,MATCH(31,Dados!$O:$O,0))</f>
        <v>Média</v>
      </c>
      <c r="I40" s="8" t="str">
        <f aca="false">INDEX(Dados!$I:$I,MATCH(31,Dados!$O:$O,0))</f>
        <v>Estável</v>
      </c>
      <c r="J40" s="15" t="n">
        <f aca="false">INDEX(Dados!$F:$F,MATCH(31,Dados!$O:$O,0))</f>
        <v>8100000</v>
      </c>
      <c r="K40" s="16" t="n">
        <f aca="false">INDEX(Dados!$G:$G,MATCH(31,Dados!$O:$O,0))</f>
        <v>14100</v>
      </c>
      <c r="L40" s="17" t="n">
        <f aca="false">INDEX(Dados!$J:$J,MATCH(31,Dados!$O:$O,0))</f>
        <v>0.6857</v>
      </c>
    </row>
    <row r="41" customFormat="false" ht="15" hidden="false" customHeight="false" outlineLevel="0" collapsed="false">
      <c r="A41" s="8" t="str">
        <f aca="false">IF(32&lt;=12,"Onda 1 — testar agora",IF(32&lt;=40,"Onda 2 — próximos passos","Onda 3 — depois de consolidar"))</f>
        <v>Onda 2 — próximos passos</v>
      </c>
      <c r="B41" s="8" t="str">
        <f aca="false">INDEX(Dados!$B:$B,MATCH(32,Dados!$O:$O,0))</f>
        <v>FRENCH AVENUE</v>
      </c>
      <c r="C41" s="8" t="str">
        <f aca="false">INDEX(Dados!$C:$C,MATCH(32,Dados!$O:$O,0))</f>
        <v>Árabe/Import Acessível (a verificar)</v>
      </c>
      <c r="D41" s="8" t="str">
        <f aca="false">INDEX(Dados!$D:$D,MATCH(32,Dados!$O:$O,0))</f>
        <v>Não</v>
      </c>
      <c r="E41" s="13" t="n">
        <f aca="false">INDEX(Dados!$N:$N,MATCH(32,Dados!$O:$O,0))</f>
        <v>52.2925398222917</v>
      </c>
      <c r="F41" s="14" t="n">
        <f aca="false">INDEX(Dados!$H:$H,MATCH(32,Dados!$O:$O,0))</f>
        <v>307.692307692308</v>
      </c>
      <c r="G41" s="8" t="n">
        <f aca="false">INDEX(Dados!$K:$K,MATCH(32,Dados!$O:$O,0))</f>
        <v>219</v>
      </c>
      <c r="H41" s="8" t="str">
        <f aca="false">INDEX(Dados!$L:$L,MATCH(32,Dados!$O:$O,0))</f>
        <v>Média</v>
      </c>
      <c r="I41" s="8" t="str">
        <f aca="false">INDEX(Dados!$I:$I,MATCH(32,Dados!$O:$O,0))</f>
        <v>Crescendo</v>
      </c>
      <c r="J41" s="15" t="n">
        <f aca="false">INDEX(Dados!$F:$F,MATCH(32,Dados!$O:$O,0))</f>
        <v>2400000</v>
      </c>
      <c r="K41" s="16" t="n">
        <f aca="false">INDEX(Dados!$G:$G,MATCH(32,Dados!$O:$O,0))</f>
        <v>7800</v>
      </c>
      <c r="L41" s="17" t="n">
        <f aca="false">INDEX(Dados!$J:$J,MATCH(32,Dados!$O:$O,0))</f>
        <v>0.7042</v>
      </c>
    </row>
    <row r="42" customFormat="false" ht="15" hidden="false" customHeight="false" outlineLevel="0" collapsed="false">
      <c r="A42" s="8" t="str">
        <f aca="false">IF(33&lt;=12,"Onda 1 — testar agora",IF(33&lt;=40,"Onda 2 — próximos passos","Onda 3 — depois de consolidar"))</f>
        <v>Onda 2 — próximos passos</v>
      </c>
      <c r="B42" s="8" t="str">
        <f aca="false">INDEX(Dados!$B:$B,MATCH(33,Dados!$O:$O,0))</f>
        <v>YVES SAINT LAURENT</v>
      </c>
      <c r="C42" s="8" t="str">
        <f aca="false">INDEX(Dados!$C:$C,MATCH(33,Dados!$O:$O,0))</f>
        <v>Designer/Importado</v>
      </c>
      <c r="D42" s="8" t="str">
        <f aca="false">INDEX(Dados!$D:$D,MATCH(33,Dados!$O:$O,0))</f>
        <v>Não</v>
      </c>
      <c r="E42" s="13" t="n">
        <f aca="false">INDEX(Dados!$N:$N,MATCH(33,Dados!$O:$O,0))</f>
        <v>52.0551598601094</v>
      </c>
      <c r="F42" s="14" t="n">
        <f aca="false">INDEX(Dados!$H:$H,MATCH(33,Dados!$O:$O,0))</f>
        <v>638.888888888889</v>
      </c>
      <c r="G42" s="8" t="n">
        <f aca="false">INDEX(Dados!$K:$K,MATCH(33,Dados!$O:$O,0))</f>
        <v>80</v>
      </c>
      <c r="H42" s="8" t="str">
        <f aca="false">INDEX(Dados!$L:$L,MATCH(33,Dados!$O:$O,0))</f>
        <v>Alta</v>
      </c>
      <c r="I42" s="8" t="str">
        <f aca="false">INDEX(Dados!$I:$I,MATCH(33,Dados!$O:$O,0))</f>
        <v>Crescendo</v>
      </c>
      <c r="J42" s="15" t="n">
        <f aca="false">INDEX(Dados!$F:$F,MATCH(33,Dados!$O:$O,0))</f>
        <v>2300000</v>
      </c>
      <c r="K42" s="16" t="n">
        <f aca="false">INDEX(Dados!$G:$G,MATCH(33,Dados!$O:$O,0))</f>
        <v>3600</v>
      </c>
      <c r="L42" s="17" t="n">
        <f aca="false">INDEX(Dados!$J:$J,MATCH(33,Dados!$O:$O,0))</f>
        <v>0.7057</v>
      </c>
    </row>
    <row r="43" customFormat="false" ht="15" hidden="false" customHeight="false" outlineLevel="0" collapsed="false">
      <c r="A43" s="8" t="str">
        <f aca="false">IF(34&lt;=12,"Onda 1 — testar agora",IF(34&lt;=40,"Onda 2 — próximos passos","Onda 3 — depois de consolidar"))</f>
        <v>Onda 2 — próximos passos</v>
      </c>
      <c r="B43" s="8" t="str">
        <f aca="false">INDEX(Dados!$B:$B,MATCH(34,Dados!$O:$O,0))</f>
        <v>BURBERRY</v>
      </c>
      <c r="C43" s="8" t="str">
        <f aca="false">INDEX(Dados!$C:$C,MATCH(34,Dados!$O:$O,0))</f>
        <v>Designer/Importado</v>
      </c>
      <c r="D43" s="8" t="str">
        <f aca="false">INDEX(Dados!$D:$D,MATCH(34,Dados!$O:$O,0))</f>
        <v>Não</v>
      </c>
      <c r="E43" s="13" t="n">
        <f aca="false">INDEX(Dados!$N:$N,MATCH(34,Dados!$O:$O,0))</f>
        <v>50.5219428360771</v>
      </c>
      <c r="F43" s="14" t="n">
        <f aca="false">INDEX(Dados!$H:$H,MATCH(34,Dados!$O:$O,0))</f>
        <v>500.9</v>
      </c>
      <c r="G43" s="8" t="n">
        <f aca="false">INDEX(Dados!$K:$K,MATCH(34,Dados!$O:$O,0))</f>
        <v>63</v>
      </c>
      <c r="H43" s="8" t="str">
        <f aca="false">INDEX(Dados!$L:$L,MATCH(34,Dados!$O:$O,0))</f>
        <v>Média</v>
      </c>
      <c r="I43" s="8" t="str">
        <f aca="false">INDEX(Dados!$I:$I,MATCH(34,Dados!$O:$O,0))</f>
        <v>Estável</v>
      </c>
      <c r="J43" s="15" t="n">
        <f aca="false">INDEX(Dados!$F:$F,MATCH(34,Dados!$O:$O,0))</f>
        <v>500900</v>
      </c>
      <c r="K43" s="16" t="n">
        <f aca="false">INDEX(Dados!$G:$G,MATCH(34,Dados!$O:$O,0))</f>
        <v>1000</v>
      </c>
      <c r="L43" s="17" t="n">
        <f aca="false">INDEX(Dados!$J:$J,MATCH(34,Dados!$O:$O,0))</f>
        <v>0.7762</v>
      </c>
    </row>
    <row r="44" customFormat="false" ht="15" hidden="false" customHeight="false" outlineLevel="0" collapsed="false">
      <c r="A44" s="8" t="str">
        <f aca="false">IF(35&lt;=12,"Onda 1 — testar agora",IF(35&lt;=40,"Onda 2 — próximos passos","Onda 3 — depois de consolidar"))</f>
        <v>Onda 2 — próximos passos</v>
      </c>
      <c r="B44" s="8" t="str">
        <f aca="false">INDEX(Dados!$B:$B,MATCH(35,Dados!$O:$O,0))</f>
        <v>NUANCIELO</v>
      </c>
      <c r="C44" s="8" t="str">
        <f aca="false">INDEX(Dados!$C:$C,MATCH(35,Dados!$O:$O,0))</f>
        <v>A verificar</v>
      </c>
      <c r="D44" s="8" t="str">
        <f aca="false">INDEX(Dados!$D:$D,MATCH(35,Dados!$O:$O,0))</f>
        <v>Não</v>
      </c>
      <c r="E44" s="13" t="n">
        <f aca="false">INDEX(Dados!$N:$N,MATCH(35,Dados!$O:$O,0))</f>
        <v>48.9979805795087</v>
      </c>
      <c r="F44" s="14" t="n">
        <f aca="false">INDEX(Dados!$H:$H,MATCH(35,Dados!$O:$O,0))</f>
        <v>272.737430167598</v>
      </c>
      <c r="G44" s="8" t="n">
        <f aca="false">INDEX(Dados!$K:$K,MATCH(35,Dados!$O:$O,0))</f>
        <v>5</v>
      </c>
      <c r="H44" s="8" t="str">
        <f aca="false">INDEX(Dados!$L:$L,MATCH(35,Dados!$O:$O,0))</f>
        <v>Média</v>
      </c>
      <c r="I44" s="8" t="str">
        <f aca="false">INDEX(Dados!$I:$I,MATCH(35,Dados!$O:$O,0))</f>
        <v>Estável</v>
      </c>
      <c r="J44" s="15" t="n">
        <f aca="false">INDEX(Dados!$F:$F,MATCH(35,Dados!$O:$O,0))</f>
        <v>244100</v>
      </c>
      <c r="K44" s="16" t="n">
        <f aca="false">INDEX(Dados!$G:$G,MATCH(35,Dados!$O:$O,0))</f>
        <v>895</v>
      </c>
      <c r="L44" s="17" t="n">
        <f aca="false">INDEX(Dados!$J:$J,MATCH(35,Dados!$O:$O,0))</f>
        <v>0.3115</v>
      </c>
    </row>
    <row r="45" customFormat="false" ht="15" hidden="false" customHeight="false" outlineLevel="0" collapsed="false">
      <c r="A45" s="8" t="str">
        <f aca="false">IF(36&lt;=12,"Onda 1 — testar agora",IF(36&lt;=40,"Onda 2 — próximos passos","Onda 3 — depois de consolidar"))</f>
        <v>Onda 2 — próximos passos</v>
      </c>
      <c r="B45" s="8" t="str">
        <f aca="false">INDEX(Dados!$B:$B,MATCH(36,Dados!$O:$O,0))</f>
        <v>VERSACE</v>
      </c>
      <c r="C45" s="8" t="str">
        <f aca="false">INDEX(Dados!$C:$C,MATCH(36,Dados!$O:$O,0))</f>
        <v>Designer/Importado</v>
      </c>
      <c r="D45" s="8" t="str">
        <f aca="false">INDEX(Dados!$D:$D,MATCH(36,Dados!$O:$O,0))</f>
        <v>Não</v>
      </c>
      <c r="E45" s="13" t="n">
        <f aca="false">INDEX(Dados!$N:$N,MATCH(36,Dados!$O:$O,0))</f>
        <v>48.474569214007</v>
      </c>
      <c r="F45" s="14" t="n">
        <f aca="false">INDEX(Dados!$H:$H,MATCH(36,Dados!$O:$O,0))</f>
        <v>468.75</v>
      </c>
      <c r="G45" s="8" t="n">
        <f aca="false">INDEX(Dados!$K:$K,MATCH(36,Dados!$O:$O,0))</f>
        <v>109</v>
      </c>
      <c r="H45" s="8" t="str">
        <f aca="false">INDEX(Dados!$L:$L,MATCH(36,Dados!$O:$O,0))</f>
        <v>Alta</v>
      </c>
      <c r="I45" s="8" t="str">
        <f aca="false">INDEX(Dados!$I:$I,MATCH(36,Dados!$O:$O,0))</f>
        <v>Crescendo</v>
      </c>
      <c r="J45" s="15" t="n">
        <f aca="false">INDEX(Dados!$F:$F,MATCH(36,Dados!$O:$O,0))</f>
        <v>1500000</v>
      </c>
      <c r="K45" s="16" t="n">
        <f aca="false">INDEX(Dados!$G:$G,MATCH(36,Dados!$O:$O,0))</f>
        <v>3200</v>
      </c>
      <c r="L45" s="17" t="n">
        <f aca="false">INDEX(Dados!$J:$J,MATCH(36,Dados!$O:$O,0))</f>
        <v>0.726</v>
      </c>
    </row>
    <row r="46" customFormat="false" ht="15" hidden="false" customHeight="false" outlineLevel="0" collapsed="false">
      <c r="A46" s="8" t="str">
        <f aca="false">IF(37&lt;=12,"Onda 1 — testar agora",IF(37&lt;=40,"Onda 2 — próximos passos","Onda 3 — depois de consolidar"))</f>
        <v>Onda 2 — próximos passos</v>
      </c>
      <c r="B46" s="8" t="str">
        <f aca="false">INDEX(Dados!$B:$B,MATCH(37,Dados!$O:$O,0))</f>
        <v>FEROFIRE</v>
      </c>
      <c r="C46" s="8" t="str">
        <f aca="false">INDEX(Dados!$C:$C,MATCH(37,Dados!$O:$O,0))</f>
        <v>A verificar</v>
      </c>
      <c r="D46" s="8" t="str">
        <f aca="false">INDEX(Dados!$D:$D,MATCH(37,Dados!$O:$O,0))</f>
        <v>Não</v>
      </c>
      <c r="E46" s="13" t="n">
        <f aca="false">INDEX(Dados!$N:$N,MATCH(37,Dados!$O:$O,0))</f>
        <v>47.1844398113862</v>
      </c>
      <c r="F46" s="14" t="n">
        <f aca="false">INDEX(Dados!$H:$H,MATCH(37,Dados!$O:$O,0))</f>
        <v>154.041666666667</v>
      </c>
      <c r="G46" s="8" t="n">
        <f aca="false">INDEX(Dados!$K:$K,MATCH(37,Dados!$O:$O,0))</f>
        <v>5</v>
      </c>
      <c r="H46" s="8" t="str">
        <f aca="false">INDEX(Dados!$L:$L,MATCH(37,Dados!$O:$O,0))</f>
        <v>Alta</v>
      </c>
      <c r="I46" s="8" t="str">
        <f aca="false">INDEX(Dados!$I:$I,MATCH(37,Dados!$O:$O,0))</f>
        <v>Crescendo</v>
      </c>
      <c r="J46" s="15" t="n">
        <f aca="false">INDEX(Dados!$F:$F,MATCH(37,Dados!$O:$O,0))</f>
        <v>739400</v>
      </c>
      <c r="K46" s="16" t="n">
        <f aca="false">INDEX(Dados!$G:$G,MATCH(37,Dados!$O:$O,0))</f>
        <v>4800</v>
      </c>
      <c r="L46" s="17" t="n">
        <f aca="false">INDEX(Dados!$J:$J,MATCH(37,Dados!$O:$O,0))</f>
        <v>0.4286</v>
      </c>
    </row>
    <row r="47" customFormat="false" ht="15" hidden="false" customHeight="false" outlineLevel="0" collapsed="false">
      <c r="A47" s="8" t="str">
        <f aca="false">IF(38&lt;=12,"Onda 1 — testar agora",IF(38&lt;=40,"Onda 2 — próximos passos","Onda 3 — depois de consolidar"))</f>
        <v>Onda 2 — próximos passos</v>
      </c>
      <c r="B47" s="8" t="str">
        <f aca="false">INDEX(Dados!$B:$B,MATCH(38,Dados!$O:$O,0))</f>
        <v>LIPX</v>
      </c>
      <c r="C47" s="8" t="str">
        <f aca="false">INDEX(Dados!$C:$C,MATCH(38,Dados!$O:$O,0))</f>
        <v>A verificar</v>
      </c>
      <c r="D47" s="8" t="str">
        <f aca="false">INDEX(Dados!$D:$D,MATCH(38,Dados!$O:$O,0))</f>
        <v>Não</v>
      </c>
      <c r="E47" s="13" t="n">
        <f aca="false">INDEX(Dados!$N:$N,MATCH(38,Dados!$O:$O,0))</f>
        <v>46.7651614681729</v>
      </c>
      <c r="F47" s="14" t="n">
        <f aca="false">INDEX(Dados!$H:$H,MATCH(38,Dados!$O:$O,0))</f>
        <v>195.238095238095</v>
      </c>
      <c r="G47" s="8" t="n">
        <f aca="false">INDEX(Dados!$K:$K,MATCH(38,Dados!$O:$O,0))</f>
        <v>36</v>
      </c>
      <c r="H47" s="8" t="str">
        <f aca="false">INDEX(Dados!$L:$L,MATCH(38,Dados!$O:$O,0))</f>
        <v>Alta</v>
      </c>
      <c r="I47" s="8" t="str">
        <f aca="false">INDEX(Dados!$I:$I,MATCH(38,Dados!$O:$O,0))</f>
        <v>Crescendo</v>
      </c>
      <c r="J47" s="15" t="n">
        <f aca="false">INDEX(Dados!$F:$F,MATCH(38,Dados!$O:$O,0))</f>
        <v>4100000</v>
      </c>
      <c r="K47" s="16" t="n">
        <f aca="false">INDEX(Dados!$G:$G,MATCH(38,Dados!$O:$O,0))</f>
        <v>21000</v>
      </c>
      <c r="L47" s="17" t="n">
        <f aca="false">INDEX(Dados!$J:$J,MATCH(38,Dados!$O:$O,0))</f>
        <v>0.8333</v>
      </c>
    </row>
    <row r="48" customFormat="false" ht="15" hidden="false" customHeight="false" outlineLevel="0" collapsed="false">
      <c r="A48" s="8" t="str">
        <f aca="false">IF(39&lt;=12,"Onda 1 — testar agora",IF(39&lt;=40,"Onda 2 — próximos passos","Onda 3 — depois de consolidar"))</f>
        <v>Onda 2 — próximos passos</v>
      </c>
      <c r="B48" s="8" t="str">
        <f aca="false">INDEX(Dados!$B:$B,MATCH(39,Dados!$O:$O,0))</f>
        <v>BIDAYA</v>
      </c>
      <c r="C48" s="8" t="str">
        <f aca="false">INDEX(Dados!$C:$C,MATCH(39,Dados!$O:$O,0))</f>
        <v>Árabe/Import Acessível</v>
      </c>
      <c r="D48" s="8" t="str">
        <f aca="false">INDEX(Dados!$D:$D,MATCH(39,Dados!$O:$O,0))</f>
        <v>Não</v>
      </c>
      <c r="E48" s="13" t="n">
        <f aca="false">INDEX(Dados!$N:$N,MATCH(39,Dados!$O:$O,0))</f>
        <v>46.4701201015596</v>
      </c>
      <c r="F48" s="14" t="n">
        <f aca="false">INDEX(Dados!$H:$H,MATCH(39,Dados!$O:$O,0))</f>
        <v>277.777777777778</v>
      </c>
      <c r="G48" s="8" t="n">
        <f aca="false">INDEX(Dados!$K:$K,MATCH(39,Dados!$O:$O,0))</f>
        <v>82</v>
      </c>
      <c r="H48" s="8" t="str">
        <f aca="false">INDEX(Dados!$L:$L,MATCH(39,Dados!$O:$O,0))</f>
        <v>Alta</v>
      </c>
      <c r="I48" s="8" t="str">
        <f aca="false">INDEX(Dados!$I:$I,MATCH(39,Dados!$O:$O,0))</f>
        <v>Crescendo</v>
      </c>
      <c r="J48" s="15" t="n">
        <f aca="false">INDEX(Dados!$F:$F,MATCH(39,Dados!$O:$O,0))</f>
        <v>1500000</v>
      </c>
      <c r="K48" s="16" t="n">
        <f aca="false">INDEX(Dados!$G:$G,MATCH(39,Dados!$O:$O,0))</f>
        <v>5400</v>
      </c>
      <c r="L48" s="17" t="n">
        <f aca="false">INDEX(Dados!$J:$J,MATCH(39,Dados!$O:$O,0))</f>
        <v>0.6021</v>
      </c>
    </row>
    <row r="49" customFormat="false" ht="15" hidden="false" customHeight="false" outlineLevel="0" collapsed="false">
      <c r="A49" s="8" t="str">
        <f aca="false">IF(40&lt;=12,"Onda 1 — testar agora",IF(40&lt;=40,"Onda 2 — próximos passos","Onda 3 — depois de consolidar"))</f>
        <v>Onda 2 — próximos passos</v>
      </c>
      <c r="B49" s="8" t="str">
        <f aca="false">INDEX(Dados!$B:$B,MATCH(40,Dados!$O:$O,0))</f>
        <v>ISABELLE LA BELLE ASAD BOURBON</v>
      </c>
      <c r="C49" s="8" t="str">
        <f aca="false">INDEX(Dados!$C:$C,MATCH(40,Dados!$O:$O,0))</f>
        <v>A verificar</v>
      </c>
      <c r="D49" s="8" t="str">
        <f aca="false">INDEX(Dados!$D:$D,MATCH(40,Dados!$O:$O,0))</f>
        <v>Não</v>
      </c>
      <c r="E49" s="13" t="n">
        <f aca="false">INDEX(Dados!$N:$N,MATCH(40,Dados!$O:$O,0))</f>
        <v>46.1848616002506</v>
      </c>
      <c r="F49" s="14" t="n">
        <f aca="false">INDEX(Dados!$H:$H,MATCH(40,Dados!$O:$O,0))</f>
        <v>86.4054054054054</v>
      </c>
      <c r="G49" s="8" t="n">
        <f aca="false">INDEX(Dados!$K:$K,MATCH(40,Dados!$O:$O,0))</f>
        <v>4</v>
      </c>
      <c r="H49" s="8" t="str">
        <f aca="false">INDEX(Dados!$L:$L,MATCH(40,Dados!$O:$O,0))</f>
        <v>Alta</v>
      </c>
      <c r="I49" s="8" t="str">
        <f aca="false">INDEX(Dados!$I:$I,MATCH(40,Dados!$O:$O,0))</f>
        <v>Crescendo</v>
      </c>
      <c r="J49" s="15" t="n">
        <f aca="false">INDEX(Dados!$F:$F,MATCH(40,Dados!$O:$O,0))</f>
        <v>319700</v>
      </c>
      <c r="K49" s="16" t="n">
        <f aca="false">INDEX(Dados!$G:$G,MATCH(40,Dados!$O:$O,0))</f>
        <v>3700</v>
      </c>
      <c r="L49" s="17" t="n">
        <f aca="false">INDEX(Dados!$J:$J,MATCH(40,Dados!$O:$O,0))</f>
        <v>0</v>
      </c>
    </row>
    <row r="50" customFormat="false" ht="15" hidden="false" customHeight="false" outlineLevel="0" collapsed="false">
      <c r="A50" s="8" t="str">
        <f aca="false">IF(41&lt;=12,"Onda 1 — testar agora",IF(41&lt;=40,"Onda 2 — próximos passos","Onda 3 — depois de consolidar"))</f>
        <v>Onda 3 — depois de consolidar</v>
      </c>
      <c r="B50" s="8" t="str">
        <f aca="false">INDEX(Dados!$B:$B,MATCH(41,Dados!$O:$O,0))</f>
        <v>GOTA BRASIL</v>
      </c>
      <c r="C50" s="8" t="str">
        <f aca="false">INDEX(Dados!$C:$C,MATCH(41,Dados!$O:$O,0))</f>
        <v>Nacional/Massa</v>
      </c>
      <c r="D50" s="8" t="str">
        <f aca="false">INDEX(Dados!$D:$D,MATCH(41,Dados!$O:$O,0))</f>
        <v>Não</v>
      </c>
      <c r="E50" s="13" t="n">
        <f aca="false">INDEX(Dados!$N:$N,MATCH(41,Dados!$O:$O,0))</f>
        <v>46.0719476935608</v>
      </c>
      <c r="F50" s="14" t="n">
        <f aca="false">INDEX(Dados!$H:$H,MATCH(41,Dados!$O:$O,0))</f>
        <v>74.5869565217391</v>
      </c>
      <c r="G50" s="8" t="n">
        <f aca="false">INDEX(Dados!$K:$K,MATCH(41,Dados!$O:$O,0))</f>
        <v>2</v>
      </c>
      <c r="H50" s="8" t="str">
        <f aca="false">INDEX(Dados!$L:$L,MATCH(41,Dados!$O:$O,0))</f>
        <v>Alta</v>
      </c>
      <c r="I50" s="8" t="str">
        <f aca="false">INDEX(Dados!$I:$I,MATCH(41,Dados!$O:$O,0))</f>
        <v>Crescendo</v>
      </c>
      <c r="J50" s="15" t="n">
        <f aca="false">INDEX(Dados!$F:$F,MATCH(41,Dados!$O:$O,0))</f>
        <v>343100</v>
      </c>
      <c r="K50" s="16" t="n">
        <f aca="false">INDEX(Dados!$G:$G,MATCH(41,Dados!$O:$O,0))</f>
        <v>4600</v>
      </c>
      <c r="L50" s="17" t="n">
        <f aca="false">INDEX(Dados!$J:$J,MATCH(41,Dados!$O:$O,0))</f>
        <v>0.0588</v>
      </c>
    </row>
    <row r="51" customFormat="false" ht="15" hidden="false" customHeight="false" outlineLevel="0" collapsed="false">
      <c r="A51" s="8" t="str">
        <f aca="false">IF(42&lt;=12,"Onda 1 — testar agora",IF(42&lt;=40,"Onda 2 — próximos passos","Onda 3 — depois de consolidar"))</f>
        <v>Onda 3 — depois de consolidar</v>
      </c>
      <c r="B51" s="8" t="str">
        <f aca="false">INDEX(Dados!$B:$B,MATCH(42,Dados!$O:$O,0))</f>
        <v>PARIS INTENSE</v>
      </c>
      <c r="C51" s="8" t="str">
        <f aca="false">INDEX(Dados!$C:$C,MATCH(42,Dados!$O:$O,0))</f>
        <v>Nacional/Contratipo (a verificar)</v>
      </c>
      <c r="D51" s="8" t="str">
        <f aca="false">INDEX(Dados!$D:$D,MATCH(42,Dados!$O:$O,0))</f>
        <v>Não</v>
      </c>
      <c r="E51" s="13" t="n">
        <f aca="false">INDEX(Dados!$N:$N,MATCH(42,Dados!$O:$O,0))</f>
        <v>45.8889658395255</v>
      </c>
      <c r="F51" s="14" t="n">
        <f aca="false">INDEX(Dados!$H:$H,MATCH(42,Dados!$O:$O,0))</f>
        <v>67.0391061452514</v>
      </c>
      <c r="G51" s="8" t="n">
        <f aca="false">INDEX(Dados!$K:$K,MATCH(42,Dados!$O:$O,0))</f>
        <v>4</v>
      </c>
      <c r="H51" s="8" t="str">
        <f aca="false">INDEX(Dados!$L:$L,MATCH(42,Dados!$O:$O,0))</f>
        <v>Alta</v>
      </c>
      <c r="I51" s="8" t="str">
        <f aca="false">INDEX(Dados!$I:$I,MATCH(42,Dados!$O:$O,0))</f>
        <v>Crescendo</v>
      </c>
      <c r="J51" s="15" t="n">
        <f aca="false">INDEX(Dados!$F:$F,MATCH(42,Dados!$O:$O,0))</f>
        <v>1200000</v>
      </c>
      <c r="K51" s="16" t="n">
        <f aca="false">INDEX(Dados!$G:$G,MATCH(42,Dados!$O:$O,0))</f>
        <v>17900</v>
      </c>
      <c r="L51" s="17" t="n">
        <f aca="false">INDEX(Dados!$J:$J,MATCH(42,Dados!$O:$O,0))</f>
        <v>0.5926</v>
      </c>
    </row>
    <row r="52" customFormat="false" ht="15" hidden="false" customHeight="false" outlineLevel="0" collapsed="false">
      <c r="A52" s="8" t="str">
        <f aca="false">IF(43&lt;=12,"Onda 1 — testar agora",IF(43&lt;=40,"Onda 2 — próximos passos","Onda 3 — depois de consolidar"))</f>
        <v>Onda 3 — depois de consolidar</v>
      </c>
      <c r="B52" s="8" t="str">
        <f aca="false">INDEX(Dados!$B:$B,MATCH(43,Dados!$O:$O,0))</f>
        <v>JOOP!</v>
      </c>
      <c r="C52" s="8" t="str">
        <f aca="false">INDEX(Dados!$C:$C,MATCH(43,Dados!$O:$O,0))</f>
        <v>Designer/Importado</v>
      </c>
      <c r="D52" s="8" t="str">
        <f aca="false">INDEX(Dados!$D:$D,MATCH(43,Dados!$O:$O,0))</f>
        <v>Não</v>
      </c>
      <c r="E52" s="13" t="n">
        <f aca="false">INDEX(Dados!$N:$N,MATCH(43,Dados!$O:$O,0))</f>
        <v>45.8368663327291</v>
      </c>
      <c r="F52" s="14" t="n">
        <f aca="false">INDEX(Dados!$H:$H,MATCH(43,Dados!$O:$O,0))</f>
        <v>209.761904761905</v>
      </c>
      <c r="G52" s="8" t="n">
        <f aca="false">INDEX(Dados!$K:$K,MATCH(43,Dados!$O:$O,0))</f>
        <v>70</v>
      </c>
      <c r="H52" s="8" t="str">
        <f aca="false">INDEX(Dados!$L:$L,MATCH(43,Dados!$O:$O,0))</f>
        <v>Alta</v>
      </c>
      <c r="I52" s="8" t="str">
        <f aca="false">INDEX(Dados!$I:$I,MATCH(43,Dados!$O:$O,0))</f>
        <v>Crescendo</v>
      </c>
      <c r="J52" s="15" t="n">
        <f aca="false">INDEX(Dados!$F:$F,MATCH(43,Dados!$O:$O,0))</f>
        <v>440500</v>
      </c>
      <c r="K52" s="16" t="n">
        <f aca="false">INDEX(Dados!$G:$G,MATCH(43,Dados!$O:$O,0))</f>
        <v>2100</v>
      </c>
      <c r="L52" s="17" t="n">
        <f aca="false">INDEX(Dados!$J:$J,MATCH(43,Dados!$O:$O,0))</f>
        <v>0.6425</v>
      </c>
    </row>
    <row r="53" customFormat="false" ht="15" hidden="false" customHeight="false" outlineLevel="0" collapsed="false">
      <c r="A53" s="8" t="str">
        <f aca="false">IF(44&lt;=12,"Onda 1 — testar agora",IF(44&lt;=40,"Onda 2 — próximos passos","Onda 3 — depois de consolidar"))</f>
        <v>Onda 3 — depois de consolidar</v>
      </c>
      <c r="B53" s="8" t="str">
        <f aca="false">INDEX(Dados!$B:$B,MATCH(44,Dados!$O:$O,0))</f>
        <v>ISABELLE LA BELLE</v>
      </c>
      <c r="C53" s="8" t="str">
        <f aca="false">INDEX(Dados!$C:$C,MATCH(44,Dados!$O:$O,0))</f>
        <v>A verificar</v>
      </c>
      <c r="D53" s="8" t="str">
        <f aca="false">INDEX(Dados!$D:$D,MATCH(44,Dados!$O:$O,0))</f>
        <v>Não</v>
      </c>
      <c r="E53" s="13" t="n">
        <f aca="false">INDEX(Dados!$N:$N,MATCH(44,Dados!$O:$O,0))</f>
        <v>45.1868263007606</v>
      </c>
      <c r="F53" s="14" t="n">
        <f aca="false">INDEX(Dados!$H:$H,MATCH(44,Dados!$O:$O,0))</f>
        <v>78.6516853932584</v>
      </c>
      <c r="G53" s="8" t="n">
        <f aca="false">INDEX(Dados!$K:$K,MATCH(44,Dados!$O:$O,0))</f>
        <v>30</v>
      </c>
      <c r="H53" s="8" t="str">
        <f aca="false">INDEX(Dados!$L:$L,MATCH(44,Dados!$O:$O,0))</f>
        <v>Alta</v>
      </c>
      <c r="I53" s="8" t="str">
        <f aca="false">INDEX(Dados!$I:$I,MATCH(44,Dados!$O:$O,0))</f>
        <v>Crescendo</v>
      </c>
      <c r="J53" s="15" t="n">
        <f aca="false">INDEX(Dados!$F:$F,MATCH(44,Dados!$O:$O,0))</f>
        <v>1400000</v>
      </c>
      <c r="K53" s="16" t="n">
        <f aca="false">INDEX(Dados!$G:$G,MATCH(44,Dados!$O:$O,0))</f>
        <v>17800</v>
      </c>
      <c r="L53" s="17" t="n">
        <f aca="false">INDEX(Dados!$J:$J,MATCH(44,Dados!$O:$O,0))</f>
        <v>0.3901</v>
      </c>
    </row>
    <row r="54" customFormat="false" ht="15" hidden="false" customHeight="false" outlineLevel="0" collapsed="false">
      <c r="A54" s="8" t="str">
        <f aca="false">IF(45&lt;=12,"Onda 1 — testar agora",IF(45&lt;=40,"Onda 2 — próximos passos","Onda 3 — depois de consolidar"))</f>
        <v>Onda 3 — depois de consolidar</v>
      </c>
      <c r="B54" s="8" t="str">
        <f aca="false">INDEX(Dados!$B:$B,MATCH(45,Dados!$O:$O,0))</f>
        <v>AURA BEAUTY</v>
      </c>
      <c r="C54" s="8" t="str">
        <f aca="false">INDEX(Dados!$C:$C,MATCH(45,Dados!$O:$O,0))</f>
        <v>A verificar</v>
      </c>
      <c r="D54" s="8" t="str">
        <f aca="false">INDEX(Dados!$D:$D,MATCH(45,Dados!$O:$O,0))</f>
        <v>Não</v>
      </c>
      <c r="E54" s="13" t="n">
        <f aca="false">INDEX(Dados!$N:$N,MATCH(45,Dados!$O:$O,0))</f>
        <v>44.9244443374833</v>
      </c>
      <c r="F54" s="14" t="n">
        <f aca="false">INDEX(Dados!$H:$H,MATCH(45,Dados!$O:$O,0))</f>
        <v>76.9777777777778</v>
      </c>
      <c r="G54" s="8" t="n">
        <f aca="false">INDEX(Dados!$K:$K,MATCH(45,Dados!$O:$O,0))</f>
        <v>37</v>
      </c>
      <c r="H54" s="8" t="str">
        <f aca="false">INDEX(Dados!$L:$L,MATCH(45,Dados!$O:$O,0))</f>
        <v>Alta</v>
      </c>
      <c r="I54" s="8" t="str">
        <f aca="false">INDEX(Dados!$I:$I,MATCH(45,Dados!$O:$O,0))</f>
        <v>Crescendo</v>
      </c>
      <c r="J54" s="15" t="n">
        <f aca="false">INDEX(Dados!$F:$F,MATCH(45,Dados!$O:$O,0))</f>
        <v>346400</v>
      </c>
      <c r="K54" s="16" t="n">
        <f aca="false">INDEX(Dados!$G:$G,MATCH(45,Dados!$O:$O,0))</f>
        <v>4500</v>
      </c>
      <c r="L54" s="17" t="n">
        <f aca="false">INDEX(Dados!$J:$J,MATCH(45,Dados!$O:$O,0))</f>
        <v>0.5082</v>
      </c>
    </row>
    <row r="55" customFormat="false" ht="15" hidden="false" customHeight="false" outlineLevel="0" collapsed="false">
      <c r="A55" s="8" t="str">
        <f aca="false">IF(46&lt;=12,"Onda 1 — testar agora",IF(46&lt;=40,"Onda 2 — próximos passos","Onda 3 — depois de consolidar"))</f>
        <v>Onda 3 — depois de consolidar</v>
      </c>
      <c r="B55" s="8" t="str">
        <f aca="false">INDEX(Dados!$B:$B,MATCH(46,Dados!$O:$O,0))</f>
        <v>NAUTICA</v>
      </c>
      <c r="C55" s="8" t="str">
        <f aca="false">INDEX(Dados!$C:$C,MATCH(46,Dados!$O:$O,0))</f>
        <v>Designer/Importado</v>
      </c>
      <c r="D55" s="8" t="str">
        <f aca="false">INDEX(Dados!$D:$D,MATCH(46,Dados!$O:$O,0))</f>
        <v>Não</v>
      </c>
      <c r="E55" s="13" t="n">
        <f aca="false">INDEX(Dados!$N:$N,MATCH(46,Dados!$O:$O,0))</f>
        <v>44.8913247872167</v>
      </c>
      <c r="F55" s="14" t="n">
        <f aca="false">INDEX(Dados!$H:$H,MATCH(46,Dados!$O:$O,0))</f>
        <v>110.236220472441</v>
      </c>
      <c r="G55" s="8" t="n">
        <f aca="false">INDEX(Dados!$K:$K,MATCH(46,Dados!$O:$O,0))</f>
        <v>53</v>
      </c>
      <c r="H55" s="8" t="str">
        <f aca="false">INDEX(Dados!$L:$L,MATCH(46,Dados!$O:$O,0))</f>
        <v>Alta</v>
      </c>
      <c r="I55" s="8" t="str">
        <f aca="false">INDEX(Dados!$I:$I,MATCH(46,Dados!$O:$O,0))</f>
        <v>Crescendo</v>
      </c>
      <c r="J55" s="15" t="n">
        <f aca="false">INDEX(Dados!$F:$F,MATCH(46,Dados!$O:$O,0))</f>
        <v>1400000</v>
      </c>
      <c r="K55" s="16" t="n">
        <f aca="false">INDEX(Dados!$G:$G,MATCH(46,Dados!$O:$O,0))</f>
        <v>12700</v>
      </c>
      <c r="L55" s="17" t="n">
        <f aca="false">INDEX(Dados!$J:$J,MATCH(46,Dados!$O:$O,0))</f>
        <v>0.6536</v>
      </c>
    </row>
    <row r="56" customFormat="false" ht="15" hidden="false" customHeight="false" outlineLevel="0" collapsed="false">
      <c r="A56" s="8" t="str">
        <f aca="false">IF(47&lt;=12,"Onda 1 — testar agora",IF(47&lt;=40,"Onda 2 — próximos passos","Onda 3 — depois de consolidar"))</f>
        <v>Onda 3 — depois de consolidar</v>
      </c>
      <c r="B56" s="8" t="str">
        <f aca="false">INDEX(Dados!$B:$B,MATCH(47,Dados!$O:$O,0))</f>
        <v>ULRIC DE VARENS</v>
      </c>
      <c r="C56" s="8" t="str">
        <f aca="false">INDEX(Dados!$C:$C,MATCH(47,Dados!$O:$O,0))</f>
        <v>Designer/Importado</v>
      </c>
      <c r="D56" s="8" t="str">
        <f aca="false">INDEX(Dados!$D:$D,MATCH(47,Dados!$O:$O,0))</f>
        <v>Não</v>
      </c>
      <c r="E56" s="13" t="n">
        <f aca="false">INDEX(Dados!$N:$N,MATCH(47,Dados!$O:$O,0))</f>
        <v>44.8021443175775</v>
      </c>
      <c r="F56" s="14" t="n">
        <f aca="false">INDEX(Dados!$H:$H,MATCH(47,Dados!$O:$O,0))</f>
        <v>82.258064516129</v>
      </c>
      <c r="G56" s="8" t="n">
        <f aca="false">INDEX(Dados!$K:$K,MATCH(47,Dados!$O:$O,0))</f>
        <v>43</v>
      </c>
      <c r="H56" s="8" t="str">
        <f aca="false">INDEX(Dados!$L:$L,MATCH(47,Dados!$O:$O,0))</f>
        <v>Alta</v>
      </c>
      <c r="I56" s="8" t="str">
        <f aca="false">INDEX(Dados!$I:$I,MATCH(47,Dados!$O:$O,0))</f>
        <v>Crescendo</v>
      </c>
      <c r="J56" s="15" t="n">
        <f aca="false">INDEX(Dados!$F:$F,MATCH(47,Dados!$O:$O,0))</f>
        <v>255000</v>
      </c>
      <c r="K56" s="16" t="n">
        <f aca="false">INDEX(Dados!$G:$G,MATCH(47,Dados!$O:$O,0))</f>
        <v>3100</v>
      </c>
      <c r="L56" s="17" t="n">
        <f aca="false">INDEX(Dados!$J:$J,MATCH(47,Dados!$O:$O,0))</f>
        <v>0.4819</v>
      </c>
    </row>
    <row r="57" customFormat="false" ht="15" hidden="false" customHeight="false" outlineLevel="0" collapsed="false">
      <c r="A57" s="8" t="str">
        <f aca="false">IF(48&lt;=12,"Onda 1 — testar agora",IF(48&lt;=40,"Onda 2 — próximos passos","Onda 3 — depois de consolidar"))</f>
        <v>Onda 3 — depois de consolidar</v>
      </c>
      <c r="B57" s="8" t="str">
        <f aca="false">INDEX(Dados!$B:$B,MATCH(48,Dados!$O:$O,0))</f>
        <v>WEPINK</v>
      </c>
      <c r="C57" s="8" t="str">
        <f aca="false">INDEX(Dados!$C:$C,MATCH(48,Dados!$O:$O,0))</f>
        <v>Nacional/Massa</v>
      </c>
      <c r="D57" s="8" t="str">
        <f aca="false">INDEX(Dados!$D:$D,MATCH(48,Dados!$O:$O,0))</f>
        <v>Não</v>
      </c>
      <c r="E57" s="13" t="n">
        <f aca="false">INDEX(Dados!$N:$N,MATCH(48,Dados!$O:$O,0))</f>
        <v>44.7722371396735</v>
      </c>
      <c r="F57" s="14" t="n">
        <f aca="false">INDEX(Dados!$H:$H,MATCH(48,Dados!$O:$O,0))</f>
        <v>106.870229007634</v>
      </c>
      <c r="G57" s="8" t="n">
        <f aca="false">INDEX(Dados!$K:$K,MATCH(48,Dados!$O:$O,0))</f>
        <v>55</v>
      </c>
      <c r="H57" s="8" t="str">
        <f aca="false">INDEX(Dados!$L:$L,MATCH(48,Dados!$O:$O,0))</f>
        <v>Baixa</v>
      </c>
      <c r="I57" s="8" t="str">
        <f aca="false">INDEX(Dados!$I:$I,MATCH(48,Dados!$O:$O,0))</f>
        <v>Diminuindo</v>
      </c>
      <c r="J57" s="15" t="n">
        <f aca="false">INDEX(Dados!$F:$F,MATCH(48,Dados!$O:$O,0))</f>
        <v>1400000</v>
      </c>
      <c r="K57" s="16" t="n">
        <f aca="false">INDEX(Dados!$G:$G,MATCH(48,Dados!$O:$O,0))</f>
        <v>13100</v>
      </c>
      <c r="L57" s="17" t="n">
        <f aca="false">INDEX(Dados!$J:$J,MATCH(48,Dados!$O:$O,0))</f>
        <v>0.6097</v>
      </c>
    </row>
    <row r="58" customFormat="false" ht="15" hidden="false" customHeight="false" outlineLevel="0" collapsed="false">
      <c r="A58" s="8" t="str">
        <f aca="false">IF(49&lt;=12,"Onda 1 — testar agora",IF(49&lt;=40,"Onda 2 — próximos passos","Onda 3 — depois de consolidar"))</f>
        <v>Onda 3 — depois de consolidar</v>
      </c>
      <c r="B58" s="8" t="str">
        <f aca="false">INDEX(Dados!$B:$B,MATCH(49,Dados!$O:$O,0))</f>
        <v>FRAGRANCE WORLD</v>
      </c>
      <c r="C58" s="8" t="str">
        <f aca="false">INDEX(Dados!$C:$C,MATCH(49,Dados!$O:$O,0))</f>
        <v>Árabe/Import Acessível</v>
      </c>
      <c r="D58" s="8" t="str">
        <f aca="false">INDEX(Dados!$D:$D,MATCH(49,Dados!$O:$O,0))</f>
        <v>Não</v>
      </c>
      <c r="E58" s="13" t="n">
        <f aca="false">INDEX(Dados!$N:$N,MATCH(49,Dados!$O:$O,0))</f>
        <v>44.6689232180006</v>
      </c>
      <c r="F58" s="14" t="n">
        <f aca="false">INDEX(Dados!$H:$H,MATCH(49,Dados!$O:$O,0))</f>
        <v>164.318181818182</v>
      </c>
      <c r="G58" s="8" t="n">
        <f aca="false">INDEX(Dados!$K:$K,MATCH(49,Dados!$O:$O,0))</f>
        <v>84</v>
      </c>
      <c r="H58" s="8" t="str">
        <f aca="false">INDEX(Dados!$L:$L,MATCH(49,Dados!$O:$O,0))</f>
        <v>Alta</v>
      </c>
      <c r="I58" s="8" t="str">
        <f aca="false">INDEX(Dados!$I:$I,MATCH(49,Dados!$O:$O,0))</f>
        <v>Crescendo</v>
      </c>
      <c r="J58" s="15" t="n">
        <f aca="false">INDEX(Dados!$F:$F,MATCH(49,Dados!$O:$O,0))</f>
        <v>361500</v>
      </c>
      <c r="K58" s="16" t="n">
        <f aca="false">INDEX(Dados!$G:$G,MATCH(49,Dados!$O:$O,0))</f>
        <v>2200</v>
      </c>
      <c r="L58" s="17" t="n">
        <f aca="false">INDEX(Dados!$J:$J,MATCH(49,Dados!$O:$O,0))</f>
        <v>0.7273</v>
      </c>
    </row>
    <row r="59" customFormat="false" ht="15" hidden="false" customHeight="false" outlineLevel="0" collapsed="false">
      <c r="A59" s="8" t="str">
        <f aca="false">IF(50&lt;=12,"Onda 1 — testar agora",IF(50&lt;=40,"Onda 2 — próximos passos","Onda 3 — depois de consolidar"))</f>
        <v>Onda 3 — depois de consolidar</v>
      </c>
      <c r="B59" s="8" t="str">
        <f aca="false">INDEX(Dados!$B:$B,MATCH(50,Dados!$O:$O,0))</f>
        <v>HINODE</v>
      </c>
      <c r="C59" s="8" t="str">
        <f aca="false">INDEX(Dados!$C:$C,MATCH(50,Dados!$O:$O,0))</f>
        <v>Nacional/Massa</v>
      </c>
      <c r="D59" s="8" t="str">
        <f aca="false">INDEX(Dados!$D:$D,MATCH(50,Dados!$O:$O,0))</f>
        <v>Não</v>
      </c>
      <c r="E59" s="13" t="n">
        <f aca="false">INDEX(Dados!$N:$N,MATCH(50,Dados!$O:$O,0))</f>
        <v>44.6660385976145</v>
      </c>
      <c r="F59" s="14" t="n">
        <f aca="false">INDEX(Dados!$H:$H,MATCH(50,Dados!$O:$O,0))</f>
        <v>104.347826086957</v>
      </c>
      <c r="G59" s="8" t="n">
        <f aca="false">INDEX(Dados!$K:$K,MATCH(50,Dados!$O:$O,0))</f>
        <v>57</v>
      </c>
      <c r="H59" s="8" t="str">
        <f aca="false">INDEX(Dados!$L:$L,MATCH(50,Dados!$O:$O,0))</f>
        <v>Baixa</v>
      </c>
      <c r="I59" s="8" t="str">
        <f aca="false">INDEX(Dados!$I:$I,MATCH(50,Dados!$O:$O,0))</f>
        <v>Diminuindo</v>
      </c>
      <c r="J59" s="15" t="n">
        <f aca="false">INDEX(Dados!$F:$F,MATCH(50,Dados!$O:$O,0))</f>
        <v>1200000</v>
      </c>
      <c r="K59" s="16" t="n">
        <f aca="false">INDEX(Dados!$G:$G,MATCH(50,Dados!$O:$O,0))</f>
        <v>11500</v>
      </c>
      <c r="L59" s="17" t="n">
        <f aca="false">INDEX(Dados!$J:$J,MATCH(50,Dados!$O:$O,0))</f>
        <v>0.6262</v>
      </c>
    </row>
    <row r="60" customFormat="false" ht="15" hidden="false" customHeight="false" outlineLevel="0" collapsed="false">
      <c r="A60" s="8" t="str">
        <f aca="false">IF(51&lt;=12,"Onda 1 — testar agora",IF(51&lt;=40,"Onda 2 — próximos passos","Onda 3 — depois de consolidar"))</f>
        <v>Onda 3 — depois de consolidar</v>
      </c>
      <c r="B60" s="8" t="str">
        <f aca="false">INDEX(Dados!$B:$B,MATCH(51,Dados!$O:$O,0))</f>
        <v>PARIS ELYSEES</v>
      </c>
      <c r="C60" s="8" t="str">
        <f aca="false">INDEX(Dados!$C:$C,MATCH(51,Dados!$O:$O,0))</f>
        <v>Nacional/Massa</v>
      </c>
      <c r="D60" s="8" t="str">
        <f aca="false">INDEX(Dados!$D:$D,MATCH(51,Dados!$O:$O,0))</f>
        <v>Não</v>
      </c>
      <c r="E60" s="13" t="n">
        <f aca="false">INDEX(Dados!$N:$N,MATCH(51,Dados!$O:$O,0))</f>
        <v>44.3347649109603</v>
      </c>
      <c r="F60" s="14" t="n">
        <f aca="false">INDEX(Dados!$H:$H,MATCH(51,Dados!$O:$O,0))</f>
        <v>73.8095238095238</v>
      </c>
      <c r="G60" s="8" t="n">
        <f aca="false">INDEX(Dados!$K:$K,MATCH(51,Dados!$O:$O,0))</f>
        <v>53</v>
      </c>
      <c r="H60" s="8" t="str">
        <f aca="false">INDEX(Dados!$L:$L,MATCH(51,Dados!$O:$O,0))</f>
        <v>Alta</v>
      </c>
      <c r="I60" s="8" t="str">
        <f aca="false">INDEX(Dados!$I:$I,MATCH(51,Dados!$O:$O,0))</f>
        <v>Crescendo</v>
      </c>
      <c r="J60" s="15" t="n">
        <f aca="false">INDEX(Dados!$F:$F,MATCH(51,Dados!$O:$O,0))</f>
        <v>3100000</v>
      </c>
      <c r="K60" s="16" t="n">
        <f aca="false">INDEX(Dados!$G:$G,MATCH(51,Dados!$O:$O,0))</f>
        <v>42000</v>
      </c>
      <c r="L60" s="17" t="n">
        <f aca="false">INDEX(Dados!$J:$J,MATCH(51,Dados!$O:$O,0))</f>
        <v>0.5089</v>
      </c>
    </row>
    <row r="61" customFormat="false" ht="15" hidden="false" customHeight="false" outlineLevel="0" collapsed="false">
      <c r="A61" s="8" t="str">
        <f aca="false">IF(52&lt;=12,"Onda 1 — testar agora",IF(52&lt;=40,"Onda 2 — próximos passos","Onda 3 — depois de consolidar"))</f>
        <v>Onda 3 — depois de consolidar</v>
      </c>
      <c r="B61" s="8" t="str">
        <f aca="false">INDEX(Dados!$B:$B,MATCH(52,Dados!$O:$O,0))</f>
        <v>CUBA PARIS</v>
      </c>
      <c r="C61" s="8" t="str">
        <f aca="false">INDEX(Dados!$C:$C,MATCH(52,Dados!$O:$O,0))</f>
        <v>Designer/Importado</v>
      </c>
      <c r="D61" s="8" t="str">
        <f aca="false">INDEX(Dados!$D:$D,MATCH(52,Dados!$O:$O,0))</f>
        <v>Não</v>
      </c>
      <c r="E61" s="13" t="n">
        <f aca="false">INDEX(Dados!$N:$N,MATCH(52,Dados!$O:$O,0))</f>
        <v>44.3099041769176</v>
      </c>
      <c r="F61" s="14" t="n">
        <f aca="false">INDEX(Dados!$H:$H,MATCH(52,Dados!$O:$O,0))</f>
        <v>65.54</v>
      </c>
      <c r="G61" s="8" t="n">
        <f aca="false">INDEX(Dados!$K:$K,MATCH(52,Dados!$O:$O,0))</f>
        <v>50</v>
      </c>
      <c r="H61" s="8" t="str">
        <f aca="false">INDEX(Dados!$L:$L,MATCH(52,Dados!$O:$O,0))</f>
        <v>Média</v>
      </c>
      <c r="I61" s="8" t="str">
        <f aca="false">INDEX(Dados!$I:$I,MATCH(52,Dados!$O:$O,0))</f>
        <v>Estável</v>
      </c>
      <c r="J61" s="15" t="n">
        <f aca="false">INDEX(Dados!$F:$F,MATCH(52,Dados!$O:$O,0))</f>
        <v>327700</v>
      </c>
      <c r="K61" s="16" t="n">
        <f aca="false">INDEX(Dados!$G:$G,MATCH(52,Dados!$O:$O,0))</f>
        <v>5000</v>
      </c>
      <c r="L61" s="17" t="n">
        <f aca="false">INDEX(Dados!$J:$J,MATCH(52,Dados!$O:$O,0))</f>
        <v>0.5862</v>
      </c>
    </row>
    <row r="62" customFormat="false" ht="15" hidden="false" customHeight="false" outlineLevel="0" collapsed="false">
      <c r="A62" s="8" t="str">
        <f aca="false">IF(53&lt;=12,"Onda 1 — testar agora",IF(53&lt;=40,"Onda 2 — próximos passos","Onda 3 — depois de consolidar"))</f>
        <v>Onda 3 — depois de consolidar</v>
      </c>
      <c r="B62" s="8" t="str">
        <f aca="false">INDEX(Dados!$B:$B,MATCH(53,Dados!$O:$O,0))</f>
        <v>CICLO</v>
      </c>
      <c r="C62" s="8" t="str">
        <f aca="false">INDEX(Dados!$C:$C,MATCH(53,Dados!$O:$O,0))</f>
        <v>Nacional/Massa</v>
      </c>
      <c r="D62" s="8" t="str">
        <f aca="false">INDEX(Dados!$D:$D,MATCH(53,Dados!$O:$O,0))</f>
        <v>Não</v>
      </c>
      <c r="E62" s="13" t="n">
        <f aca="false">INDEX(Dados!$N:$N,MATCH(53,Dados!$O:$O,0))</f>
        <v>43.8633545799319</v>
      </c>
      <c r="F62" s="14" t="n">
        <f aca="false">INDEX(Dados!$H:$H,MATCH(53,Dados!$O:$O,0))</f>
        <v>69.5254237288136</v>
      </c>
      <c r="G62" s="8" t="n">
        <f aca="false">INDEX(Dados!$K:$K,MATCH(53,Dados!$O:$O,0))</f>
        <v>65</v>
      </c>
      <c r="H62" s="8" t="str">
        <f aca="false">INDEX(Dados!$L:$L,MATCH(53,Dados!$O:$O,0))</f>
        <v>Alta</v>
      </c>
      <c r="I62" s="8" t="str">
        <f aca="false">INDEX(Dados!$I:$I,MATCH(53,Dados!$O:$O,0))</f>
        <v>Crescendo</v>
      </c>
      <c r="J62" s="15" t="n">
        <f aca="false">INDEX(Dados!$F:$F,MATCH(53,Dados!$O:$O,0))</f>
        <v>820400</v>
      </c>
      <c r="K62" s="16" t="n">
        <f aca="false">INDEX(Dados!$G:$G,MATCH(53,Dados!$O:$O,0))</f>
        <v>11800</v>
      </c>
      <c r="L62" s="17" t="n">
        <f aca="false">INDEX(Dados!$J:$J,MATCH(53,Dados!$O:$O,0))</f>
        <v>0.5895</v>
      </c>
    </row>
    <row r="63" customFormat="false" ht="15" hidden="false" customHeight="false" outlineLevel="0" collapsed="false">
      <c r="A63" s="8" t="str">
        <f aca="false">IF(54&lt;=12,"Onda 1 — testar agora",IF(54&lt;=40,"Onda 2 — próximos passos","Onda 3 — depois de consolidar"))</f>
        <v>Onda 3 — depois de consolidar</v>
      </c>
      <c r="B63" s="8" t="str">
        <f aca="false">INDEX(Dados!$B:$B,MATCH(54,Dados!$O:$O,0))</f>
        <v>LA RIVE</v>
      </c>
      <c r="C63" s="8" t="str">
        <f aca="false">INDEX(Dados!$C:$C,MATCH(54,Dados!$O:$O,0))</f>
        <v>Importado Acessível/Contratipo</v>
      </c>
      <c r="D63" s="8" t="str">
        <f aca="false">INDEX(Dados!$D:$D,MATCH(54,Dados!$O:$O,0))</f>
        <v>Não</v>
      </c>
      <c r="E63" s="13" t="n">
        <f aca="false">INDEX(Dados!$N:$N,MATCH(54,Dados!$O:$O,0))</f>
        <v>43.5879889809621</v>
      </c>
      <c r="F63" s="14" t="n">
        <f aca="false">INDEX(Dados!$H:$H,MATCH(54,Dados!$O:$O,0))</f>
        <v>75.8582677165354</v>
      </c>
      <c r="G63" s="8" t="n">
        <f aca="false">INDEX(Dados!$K:$K,MATCH(54,Dados!$O:$O,0))</f>
        <v>76</v>
      </c>
      <c r="H63" s="8" t="str">
        <f aca="false">INDEX(Dados!$L:$L,MATCH(54,Dados!$O:$O,0))</f>
        <v>Alta</v>
      </c>
      <c r="I63" s="8" t="str">
        <f aca="false">INDEX(Dados!$I:$I,MATCH(54,Dados!$O:$O,0))</f>
        <v>Crescendo</v>
      </c>
      <c r="J63" s="15" t="n">
        <f aca="false">INDEX(Dados!$F:$F,MATCH(54,Dados!$O:$O,0))</f>
        <v>963400</v>
      </c>
      <c r="K63" s="16" t="n">
        <f aca="false">INDEX(Dados!$G:$G,MATCH(54,Dados!$O:$O,0))</f>
        <v>12700</v>
      </c>
      <c r="L63" s="17" t="n">
        <f aca="false">INDEX(Dados!$J:$J,MATCH(54,Dados!$O:$O,0))</f>
        <v>0.5669</v>
      </c>
    </row>
    <row r="64" customFormat="false" ht="15" hidden="false" customHeight="false" outlineLevel="0" collapsed="false">
      <c r="A64" s="8" t="str">
        <f aca="false">IF(55&lt;=12,"Onda 1 — testar agora",IF(55&lt;=40,"Onda 2 — próximos passos","Onda 3 — depois de consolidar"))</f>
        <v>Onda 3 — depois de consolidar</v>
      </c>
      <c r="B64" s="8" t="str">
        <f aca="false">INDEX(Dados!$B:$B,MATCH(55,Dados!$O:$O,0))</f>
        <v>VICTORIA'S SECRET</v>
      </c>
      <c r="C64" s="8" t="str">
        <f aca="false">INDEX(Dados!$C:$C,MATCH(55,Dados!$O:$O,0))</f>
        <v>Designer/Importado</v>
      </c>
      <c r="D64" s="8" t="str">
        <f aca="false">INDEX(Dados!$D:$D,MATCH(55,Dados!$O:$O,0))</f>
        <v>Não</v>
      </c>
      <c r="E64" s="13" t="n">
        <f aca="false">INDEX(Dados!$N:$N,MATCH(55,Dados!$O:$O,0))</f>
        <v>43.5096904751226</v>
      </c>
      <c r="F64" s="14" t="n">
        <f aca="false">INDEX(Dados!$H:$H,MATCH(55,Dados!$O:$O,0))</f>
        <v>143.8</v>
      </c>
      <c r="G64" s="8" t="n">
        <f aca="false">INDEX(Dados!$K:$K,MATCH(55,Dados!$O:$O,0))</f>
        <v>109</v>
      </c>
      <c r="H64" s="8" t="str">
        <f aca="false">INDEX(Dados!$L:$L,MATCH(55,Dados!$O:$O,0))</f>
        <v>Baixa</v>
      </c>
      <c r="I64" s="8" t="str">
        <f aca="false">INDEX(Dados!$I:$I,MATCH(55,Dados!$O:$O,0))</f>
        <v>Diminuindo</v>
      </c>
      <c r="J64" s="15" t="n">
        <f aca="false">INDEX(Dados!$F:$F,MATCH(55,Dados!$O:$O,0))</f>
        <v>862800</v>
      </c>
      <c r="K64" s="16" t="n">
        <f aca="false">INDEX(Dados!$G:$G,MATCH(55,Dados!$O:$O,0))</f>
        <v>6000</v>
      </c>
      <c r="L64" s="17" t="n">
        <f aca="false">INDEX(Dados!$J:$J,MATCH(55,Dados!$O:$O,0))</f>
        <v>0.7192</v>
      </c>
    </row>
    <row r="65" customFormat="false" ht="15" hidden="false" customHeight="false" outlineLevel="0" collapsed="false">
      <c r="A65" s="8" t="str">
        <f aca="false">IF(56&lt;=12,"Onda 1 — testar agora",IF(56&lt;=40,"Onda 2 — próximos passos","Onda 3 — depois de consolidar"))</f>
        <v>Onda 3 — depois de consolidar</v>
      </c>
      <c r="B65" s="8" t="str">
        <f aca="false">INDEX(Dados!$B:$B,MATCH(56,Dados!$O:$O,0))</f>
        <v>CAROLINA HERRERA</v>
      </c>
      <c r="C65" s="8" t="str">
        <f aca="false">INDEX(Dados!$C:$C,MATCH(56,Dados!$O:$O,0))</f>
        <v>Designer/Importado</v>
      </c>
      <c r="D65" s="8" t="str">
        <f aca="false">INDEX(Dados!$D:$D,MATCH(56,Dados!$O:$O,0))</f>
        <v>Não</v>
      </c>
      <c r="E65" s="13" t="n">
        <f aca="false">INDEX(Dados!$N:$N,MATCH(56,Dados!$O:$O,0))</f>
        <v>42.0109848156226</v>
      </c>
      <c r="F65" s="14" t="n">
        <f aca="false">INDEX(Dados!$H:$H,MATCH(56,Dados!$O:$O,0))</f>
        <v>523.076923076923</v>
      </c>
      <c r="G65" s="8" t="n">
        <f aca="false">INDEX(Dados!$K:$K,MATCH(56,Dados!$O:$O,0))</f>
        <v>29</v>
      </c>
      <c r="H65" s="8" t="str">
        <f aca="false">INDEX(Dados!$L:$L,MATCH(56,Dados!$O:$O,0))</f>
        <v>Alta</v>
      </c>
      <c r="I65" s="8" t="str">
        <f aca="false">INDEX(Dados!$I:$I,MATCH(56,Dados!$O:$O,0))</f>
        <v>Estável</v>
      </c>
      <c r="J65" s="15" t="n">
        <f aca="false">INDEX(Dados!$F:$F,MATCH(56,Dados!$O:$O,0))</f>
        <v>10200000</v>
      </c>
      <c r="K65" s="16" t="n">
        <f aca="false">INDEX(Dados!$G:$G,MATCH(56,Dados!$O:$O,0))</f>
        <v>19500</v>
      </c>
      <c r="L65" s="17" t="n">
        <f aca="false">INDEX(Dados!$J:$J,MATCH(56,Dados!$O:$O,0))</f>
        <v>0.6718</v>
      </c>
    </row>
    <row r="66" customFormat="false" ht="15" hidden="false" customHeight="false" outlineLevel="0" collapsed="false">
      <c r="A66" s="8" t="str">
        <f aca="false">IF(57&lt;=12,"Onda 1 — testar agora",IF(57&lt;=40,"Onda 2 — próximos passos","Onda 3 — depois de consolidar"))</f>
        <v>Onda 3 — depois de consolidar</v>
      </c>
      <c r="B66" s="8" t="str">
        <f aca="false">INDEX(Dados!$B:$B,MATCH(57,Dados!$O:$O,0))</f>
        <v>CHLOÉ</v>
      </c>
      <c r="C66" s="8" t="str">
        <f aca="false">INDEX(Dados!$C:$C,MATCH(57,Dados!$O:$O,0))</f>
        <v>Designer/Importado</v>
      </c>
      <c r="D66" s="8" t="str">
        <f aca="false">INDEX(Dados!$D:$D,MATCH(57,Dados!$O:$O,0))</f>
        <v>Não</v>
      </c>
      <c r="E66" s="13" t="n">
        <f aca="false">INDEX(Dados!$N:$N,MATCH(57,Dados!$O:$O,0))</f>
        <v>41.7662003350649</v>
      </c>
      <c r="F66" s="14" t="n">
        <f aca="false">INDEX(Dados!$H:$H,MATCH(57,Dados!$O:$O,0))</f>
        <v>562.409138110073</v>
      </c>
      <c r="G66" s="8" t="n">
        <f aca="false">INDEX(Dados!$K:$K,MATCH(57,Dados!$O:$O,0))</f>
        <v>54</v>
      </c>
      <c r="H66" s="8" t="str">
        <f aca="false">INDEX(Dados!$L:$L,MATCH(57,Dados!$O:$O,0))</f>
        <v>Média</v>
      </c>
      <c r="I66" s="8" t="str">
        <f aca="false">INDEX(Dados!$I:$I,MATCH(57,Dados!$O:$O,0))</f>
        <v>Diminuindo</v>
      </c>
      <c r="J66" s="15" t="n">
        <f aca="false">INDEX(Dados!$F:$F,MATCH(57,Dados!$O:$O,0))</f>
        <v>541600</v>
      </c>
      <c r="K66" s="16" t="n">
        <f aca="false">INDEX(Dados!$G:$G,MATCH(57,Dados!$O:$O,0))</f>
        <v>963</v>
      </c>
      <c r="L66" s="17" t="n">
        <f aca="false">INDEX(Dados!$J:$J,MATCH(57,Dados!$O:$O,0))</f>
        <v>0.7429</v>
      </c>
    </row>
    <row r="67" customFormat="false" ht="15" hidden="false" customHeight="false" outlineLevel="0" collapsed="false">
      <c r="A67" s="8" t="str">
        <f aca="false">IF(58&lt;=12,"Onda 1 — testar agora",IF(58&lt;=40,"Onda 2 — próximos passos","Onda 3 — depois de consolidar"))</f>
        <v>Onda 3 — depois de consolidar</v>
      </c>
      <c r="B67" s="8" t="str">
        <f aca="false">INDEX(Dados!$B:$B,MATCH(58,Dados!$O:$O,0))</f>
        <v>JEQUITI</v>
      </c>
      <c r="C67" s="8" t="str">
        <f aca="false">INDEX(Dados!$C:$C,MATCH(58,Dados!$O:$O,0))</f>
        <v>Nacional/Massa</v>
      </c>
      <c r="D67" s="8" t="str">
        <f aca="false">INDEX(Dados!$D:$D,MATCH(58,Dados!$O:$O,0))</f>
        <v>Não</v>
      </c>
      <c r="E67" s="13" t="n">
        <f aca="false">INDEX(Dados!$N:$N,MATCH(58,Dados!$O:$O,0))</f>
        <v>41.4202535458167</v>
      </c>
      <c r="F67" s="14" t="n">
        <f aca="false">INDEX(Dados!$H:$H,MATCH(58,Dados!$O:$O,0))</f>
        <v>35.8306188925081</v>
      </c>
      <c r="G67" s="8" t="n">
        <f aca="false">INDEX(Dados!$K:$K,MATCH(58,Dados!$O:$O,0))</f>
        <v>122</v>
      </c>
      <c r="H67" s="8" t="str">
        <f aca="false">INDEX(Dados!$L:$L,MATCH(58,Dados!$O:$O,0))</f>
        <v>Alta</v>
      </c>
      <c r="I67" s="8" t="str">
        <f aca="false">INDEX(Dados!$I:$I,MATCH(58,Dados!$O:$O,0))</f>
        <v>Crescendo</v>
      </c>
      <c r="J67" s="15" t="n">
        <f aca="false">INDEX(Dados!$F:$F,MATCH(58,Dados!$O:$O,0))</f>
        <v>2200000</v>
      </c>
      <c r="K67" s="16" t="n">
        <f aca="false">INDEX(Dados!$G:$G,MATCH(58,Dados!$O:$O,0))</f>
        <v>61400</v>
      </c>
      <c r="L67" s="17" t="n">
        <f aca="false">INDEX(Dados!$J:$J,MATCH(58,Dados!$O:$O,0))</f>
        <v>0.5443</v>
      </c>
    </row>
    <row r="68" customFormat="false" ht="15" hidden="false" customHeight="false" outlineLevel="0" collapsed="false">
      <c r="A68" s="8" t="str">
        <f aca="false">IF(59&lt;=12,"Onda 1 — testar agora",IF(59&lt;=40,"Onda 2 — próximos passos","Onda 3 — depois de consolidar"))</f>
        <v>Onda 3 — depois de consolidar</v>
      </c>
      <c r="B68" s="8" t="str">
        <f aca="false">INDEX(Dados!$B:$B,MATCH(59,Dados!$O:$O,0))</f>
        <v>GIVENCHY</v>
      </c>
      <c r="C68" s="8" t="str">
        <f aca="false">INDEX(Dados!$C:$C,MATCH(59,Dados!$O:$O,0))</f>
        <v>Designer/Importado</v>
      </c>
      <c r="D68" s="8" t="str">
        <f aca="false">INDEX(Dados!$D:$D,MATCH(59,Dados!$O:$O,0))</f>
        <v>Não</v>
      </c>
      <c r="E68" s="13" t="n">
        <f aca="false">INDEX(Dados!$N:$N,MATCH(59,Dados!$O:$O,0))</f>
        <v>40.3565318008233</v>
      </c>
      <c r="F68" s="14" t="n">
        <f aca="false">INDEX(Dados!$H:$H,MATCH(59,Dados!$O:$O,0))</f>
        <v>525.5</v>
      </c>
      <c r="G68" s="8" t="n">
        <f aca="false">INDEX(Dados!$K:$K,MATCH(59,Dados!$O:$O,0))</f>
        <v>79</v>
      </c>
      <c r="H68" s="8" t="str">
        <f aca="false">INDEX(Dados!$L:$L,MATCH(59,Dados!$O:$O,0))</f>
        <v>Média</v>
      </c>
      <c r="I68" s="8" t="str">
        <f aca="false">INDEX(Dados!$I:$I,MATCH(59,Dados!$O:$O,0))</f>
        <v>Diminuindo</v>
      </c>
      <c r="J68" s="15" t="n">
        <f aca="false">INDEX(Dados!$F:$F,MATCH(59,Dados!$O:$O,0))</f>
        <v>630600</v>
      </c>
      <c r="K68" s="16" t="n">
        <f aca="false">INDEX(Dados!$G:$G,MATCH(59,Dados!$O:$O,0))</f>
        <v>1200</v>
      </c>
      <c r="L68" s="17" t="n">
        <f aca="false">INDEX(Dados!$J:$J,MATCH(59,Dados!$O:$O,0))</f>
        <v>0.7158</v>
      </c>
    </row>
    <row r="69" customFormat="false" ht="15" hidden="false" customHeight="false" outlineLevel="0" collapsed="false">
      <c r="A69" s="8" t="str">
        <f aca="false">IF(60&lt;=12,"Onda 1 — testar agora",IF(60&lt;=40,"Onda 2 — próximos passos","Onda 3 — depois de consolidar"))</f>
        <v>Onda 3 — depois de consolidar</v>
      </c>
      <c r="B69" s="8" t="str">
        <f aca="false">INDEX(Dados!$B:$B,MATCH(60,Dados!$O:$O,0))</f>
        <v>ARMAF</v>
      </c>
      <c r="C69" s="8" t="str">
        <f aca="false">INDEX(Dados!$C:$C,MATCH(60,Dados!$O:$O,0))</f>
        <v>Árabe/Import Acessível</v>
      </c>
      <c r="D69" s="8" t="str">
        <f aca="false">INDEX(Dados!$D:$D,MATCH(60,Dados!$O:$O,0))</f>
        <v>Não</v>
      </c>
      <c r="E69" s="13" t="n">
        <f aca="false">INDEX(Dados!$N:$N,MATCH(60,Dados!$O:$O,0))</f>
        <v>39.8009275467239</v>
      </c>
      <c r="F69" s="14" t="n">
        <f aca="false">INDEX(Dados!$H:$H,MATCH(60,Dados!$O:$O,0))</f>
        <v>244.252873563218</v>
      </c>
      <c r="G69" s="8" t="n">
        <f aca="false">INDEX(Dados!$K:$K,MATCH(60,Dados!$O:$O,0))</f>
        <v>264</v>
      </c>
      <c r="H69" s="8" t="str">
        <f aca="false">INDEX(Dados!$L:$L,MATCH(60,Dados!$O:$O,0))</f>
        <v>Alta</v>
      </c>
      <c r="I69" s="8" t="str">
        <f aca="false">INDEX(Dados!$I:$I,MATCH(60,Dados!$O:$O,0))</f>
        <v>Crescendo</v>
      </c>
      <c r="J69" s="15" t="n">
        <f aca="false">INDEX(Dados!$F:$F,MATCH(60,Dados!$O:$O,0))</f>
        <v>8500000</v>
      </c>
      <c r="K69" s="16" t="n">
        <f aca="false">INDEX(Dados!$G:$G,MATCH(60,Dados!$O:$O,0))</f>
        <v>34800</v>
      </c>
      <c r="L69" s="17" t="n">
        <f aca="false">INDEX(Dados!$J:$J,MATCH(60,Dados!$O:$O,0))</f>
        <v>0.6872</v>
      </c>
    </row>
    <row r="70" customFormat="false" ht="15" hidden="false" customHeight="false" outlineLevel="0" collapsed="false">
      <c r="A70" s="8" t="str">
        <f aca="false">IF(61&lt;=12,"Onda 1 — testar agora",IF(61&lt;=40,"Onda 2 — próximos passos","Onda 3 — depois de consolidar"))</f>
        <v>Onda 3 — depois de consolidar</v>
      </c>
      <c r="B70" s="8" t="str">
        <f aca="false">INDEX(Dados!$B:$B,MATCH(61,Dados!$O:$O,0))</f>
        <v>DOLCE &amp; GABBANA</v>
      </c>
      <c r="C70" s="8" t="str">
        <f aca="false">INDEX(Dados!$C:$C,MATCH(61,Dados!$O:$O,0))</f>
        <v>Designer/Importado</v>
      </c>
      <c r="D70" s="8" t="str">
        <f aca="false">INDEX(Dados!$D:$D,MATCH(61,Dados!$O:$O,0))</f>
        <v>Não</v>
      </c>
      <c r="E70" s="13" t="n">
        <f aca="false">INDEX(Dados!$N:$N,MATCH(61,Dados!$O:$O,0))</f>
        <v>39.0535233546611</v>
      </c>
      <c r="F70" s="14" t="n">
        <f aca="false">INDEX(Dados!$H:$H,MATCH(61,Dados!$O:$O,0))</f>
        <v>500</v>
      </c>
      <c r="G70" s="8" t="n">
        <f aca="false">INDEX(Dados!$K:$K,MATCH(61,Dados!$O:$O,0))</f>
        <v>106</v>
      </c>
      <c r="H70" s="8" t="str">
        <f aca="false">INDEX(Dados!$L:$L,MATCH(61,Dados!$O:$O,0))</f>
        <v>Média</v>
      </c>
      <c r="I70" s="8" t="str">
        <f aca="false">INDEX(Dados!$I:$I,MATCH(61,Dados!$O:$O,0))</f>
        <v>Diminuindo</v>
      </c>
      <c r="J70" s="15" t="n">
        <f aca="false">INDEX(Dados!$F:$F,MATCH(61,Dados!$O:$O,0))</f>
        <v>1900000</v>
      </c>
      <c r="K70" s="16" t="n">
        <f aca="false">INDEX(Dados!$G:$G,MATCH(61,Dados!$O:$O,0))</f>
        <v>3800</v>
      </c>
      <c r="L70" s="17" t="n">
        <f aca="false">INDEX(Dados!$J:$J,MATCH(61,Dados!$O:$O,0))</f>
        <v>0.7247</v>
      </c>
    </row>
    <row r="71" customFormat="false" ht="15" hidden="false" customHeight="false" outlineLevel="0" collapsed="false">
      <c r="A71" s="8" t="str">
        <f aca="false">IF(62&lt;=12,"Onda 1 — testar agora",IF(62&lt;=40,"Onda 2 — próximos passos","Onda 3 — depois de consolidar"))</f>
        <v>Onda 3 — depois de consolidar</v>
      </c>
      <c r="B71" s="8" t="str">
        <f aca="false">INDEX(Dados!$B:$B,MATCH(62,Dados!$O:$O,0))</f>
        <v>MONTBLANC</v>
      </c>
      <c r="C71" s="8" t="str">
        <f aca="false">INDEX(Dados!$C:$C,MATCH(62,Dados!$O:$O,0))</f>
        <v>Designer/Importado Premium</v>
      </c>
      <c r="D71" s="8" t="str">
        <f aca="false">INDEX(Dados!$D:$D,MATCH(62,Dados!$O:$O,0))</f>
        <v>Não</v>
      </c>
      <c r="E71" s="13" t="n">
        <f aca="false">INDEX(Dados!$N:$N,MATCH(62,Dados!$O:$O,0))</f>
        <v>38.2195781021131</v>
      </c>
      <c r="F71" s="14" t="n">
        <f aca="false">INDEX(Dados!$H:$H,MATCH(62,Dados!$O:$O,0))</f>
        <v>403.35</v>
      </c>
      <c r="G71" s="8" t="n">
        <f aca="false">INDEX(Dados!$K:$K,MATCH(62,Dados!$O:$O,0))</f>
        <v>87</v>
      </c>
      <c r="H71" s="8" t="str">
        <f aca="false">INDEX(Dados!$L:$L,MATCH(62,Dados!$O:$O,0))</f>
        <v>Média</v>
      </c>
      <c r="I71" s="8" t="str">
        <f aca="false">INDEX(Dados!$I:$I,MATCH(62,Dados!$O:$O,0))</f>
        <v>Diminuindo</v>
      </c>
      <c r="J71" s="15" t="n">
        <f aca="false">INDEX(Dados!$F:$F,MATCH(62,Dados!$O:$O,0))</f>
        <v>806700</v>
      </c>
      <c r="K71" s="16" t="n">
        <f aca="false">INDEX(Dados!$G:$G,MATCH(62,Dados!$O:$O,0))</f>
        <v>2000</v>
      </c>
      <c r="L71" s="17" t="n">
        <f aca="false">INDEX(Dados!$J:$J,MATCH(62,Dados!$O:$O,0))</f>
        <v>0.6828</v>
      </c>
    </row>
    <row r="72" customFormat="false" ht="15" hidden="false" customHeight="false" outlineLevel="0" collapsed="false">
      <c r="A72" s="8" t="str">
        <f aca="false">IF(63&lt;=12,"Onda 1 — testar agora",IF(63&lt;=40,"Onda 2 — próximos passos","Onda 3 — depois de consolidar"))</f>
        <v>Onda 3 — depois de consolidar</v>
      </c>
      <c r="B72" s="8" t="str">
        <f aca="false">INDEX(Dados!$B:$B,MATCH(63,Dados!$O:$O,0))</f>
        <v>L'ACQUA DI FIORI</v>
      </c>
      <c r="C72" s="8" t="str">
        <f aca="false">INDEX(Dados!$C:$C,MATCH(63,Dados!$O:$O,0))</f>
        <v>A verificar</v>
      </c>
      <c r="D72" s="8" t="str">
        <f aca="false">INDEX(Dados!$D:$D,MATCH(63,Dados!$O:$O,0))</f>
        <v>Não</v>
      </c>
      <c r="E72" s="13" t="n">
        <f aca="false">INDEX(Dados!$N:$N,MATCH(63,Dados!$O:$O,0))</f>
        <v>37.6476669405115</v>
      </c>
      <c r="F72" s="14" t="n">
        <f aca="false">INDEX(Dados!$H:$H,MATCH(63,Dados!$O:$O,0))</f>
        <v>222</v>
      </c>
      <c r="G72" s="8" t="n">
        <f aca="false">INDEX(Dados!$K:$K,MATCH(63,Dados!$O:$O,0))</f>
        <v>22</v>
      </c>
      <c r="H72" s="8" t="str">
        <f aca="false">INDEX(Dados!$L:$L,MATCH(63,Dados!$O:$O,0))</f>
        <v>Média</v>
      </c>
      <c r="I72" s="8" t="str">
        <f aca="false">INDEX(Dados!$I:$I,MATCH(63,Dados!$O:$O,0))</f>
        <v>Diminuindo</v>
      </c>
      <c r="J72" s="15" t="n">
        <f aca="false">INDEX(Dados!$F:$F,MATCH(63,Dados!$O:$O,0))</f>
        <v>288600</v>
      </c>
      <c r="K72" s="16" t="n">
        <f aca="false">INDEX(Dados!$G:$G,MATCH(63,Dados!$O:$O,0))</f>
        <v>1300</v>
      </c>
      <c r="L72" s="17" t="n">
        <f aca="false">INDEX(Dados!$J:$J,MATCH(63,Dados!$O:$O,0))</f>
        <v>0.6218</v>
      </c>
    </row>
    <row r="73" customFormat="false" ht="15" hidden="false" customHeight="false" outlineLevel="0" collapsed="false">
      <c r="A73" s="8" t="str">
        <f aca="false">IF(64&lt;=12,"Onda 1 — testar agora",IF(64&lt;=40,"Onda 2 — próximos passos","Onda 3 — depois de consolidar"))</f>
        <v>Onda 3 — depois de consolidar</v>
      </c>
      <c r="B73" s="8" t="str">
        <f aca="false">INDEX(Dados!$B:$B,MATCH(64,Dados!$O:$O,0))</f>
        <v>LAB8 FLUY</v>
      </c>
      <c r="C73" s="8" t="str">
        <f aca="false">INDEX(Dados!$C:$C,MATCH(64,Dados!$O:$O,0))</f>
        <v>A verificar</v>
      </c>
      <c r="D73" s="8" t="str">
        <f aca="false">INDEX(Dados!$D:$D,MATCH(64,Dados!$O:$O,0))</f>
        <v>Não</v>
      </c>
      <c r="E73" s="13" t="n">
        <f aca="false">INDEX(Dados!$N:$N,MATCH(64,Dados!$O:$O,0))</f>
        <v>37.0159783261481</v>
      </c>
      <c r="F73" s="14" t="n">
        <f aca="false">INDEX(Dados!$H:$H,MATCH(64,Dados!$O:$O,0))</f>
        <v>200.583333333333</v>
      </c>
      <c r="G73" s="8" t="n">
        <f aca="false">INDEX(Dados!$K:$K,MATCH(64,Dados!$O:$O,0))</f>
        <v>31</v>
      </c>
      <c r="H73" s="8" t="str">
        <f aca="false">INDEX(Dados!$L:$L,MATCH(64,Dados!$O:$O,0))</f>
        <v>Média</v>
      </c>
      <c r="I73" s="8" t="str">
        <f aca="false">INDEX(Dados!$I:$I,MATCH(64,Dados!$O:$O,0))</f>
        <v>Diminuindo</v>
      </c>
      <c r="J73" s="15" t="n">
        <f aca="false">INDEX(Dados!$F:$F,MATCH(64,Dados!$O:$O,0))</f>
        <v>722100</v>
      </c>
      <c r="K73" s="16" t="n">
        <f aca="false">INDEX(Dados!$G:$G,MATCH(64,Dados!$O:$O,0))</f>
        <v>3600</v>
      </c>
      <c r="L73" s="17" t="n">
        <f aca="false">INDEX(Dados!$J:$J,MATCH(64,Dados!$O:$O,0))</f>
        <v>0.6489</v>
      </c>
    </row>
    <row r="74" customFormat="false" ht="15" hidden="false" customHeight="false" outlineLevel="0" collapsed="false">
      <c r="A74" s="8" t="str">
        <f aca="false">IF(65&lt;=12,"Onda 1 — testar agora",IF(65&lt;=40,"Onda 2 — próximos passos","Onda 3 — depois de consolidar"))</f>
        <v>Onda 3 — depois de consolidar</v>
      </c>
      <c r="B74" s="8" t="str">
        <f aca="false">INDEX(Dados!$B:$B,MATCH(65,Dados!$O:$O,0))</f>
        <v>AZZARO</v>
      </c>
      <c r="C74" s="8" t="str">
        <f aca="false">INDEX(Dados!$C:$C,MATCH(65,Dados!$O:$O,0))</f>
        <v>Designer/Importado</v>
      </c>
      <c r="D74" s="8" t="str">
        <f aca="false">INDEX(Dados!$D:$D,MATCH(65,Dados!$O:$O,0))</f>
        <v>Não</v>
      </c>
      <c r="E74" s="13" t="n">
        <f aca="false">INDEX(Dados!$N:$N,MATCH(65,Dados!$O:$O,0))</f>
        <v>36.9141587966706</v>
      </c>
      <c r="F74" s="14" t="n">
        <f aca="false">INDEX(Dados!$H:$H,MATCH(65,Dados!$O:$O,0))</f>
        <v>337.837837837838</v>
      </c>
      <c r="G74" s="8" t="n">
        <f aca="false">INDEX(Dados!$K:$K,MATCH(65,Dados!$O:$O,0))</f>
        <v>96</v>
      </c>
      <c r="H74" s="8" t="str">
        <f aca="false">INDEX(Dados!$L:$L,MATCH(65,Dados!$O:$O,0))</f>
        <v>Alta</v>
      </c>
      <c r="I74" s="8" t="str">
        <f aca="false">INDEX(Dados!$I:$I,MATCH(65,Dados!$O:$O,0))</f>
        <v>Estável</v>
      </c>
      <c r="J74" s="15" t="n">
        <f aca="false">INDEX(Dados!$F:$F,MATCH(65,Dados!$O:$O,0))</f>
        <v>2500000</v>
      </c>
      <c r="K74" s="16" t="n">
        <f aca="false">INDEX(Dados!$G:$G,MATCH(65,Dados!$O:$O,0))</f>
        <v>7400</v>
      </c>
      <c r="L74" s="17" t="n">
        <f aca="false">INDEX(Dados!$J:$J,MATCH(65,Dados!$O:$O,0))</f>
        <v>0.6694</v>
      </c>
    </row>
    <row r="75" customFormat="false" ht="15" hidden="false" customHeight="false" outlineLevel="0" collapsed="false">
      <c r="A75" s="8" t="str">
        <f aca="false">IF(66&lt;=12,"Onda 1 — testar agora",IF(66&lt;=40,"Onda 2 — próximos passos","Onda 3 — depois de consolidar"))</f>
        <v>Onda 3 — depois de consolidar</v>
      </c>
      <c r="B75" s="8" t="str">
        <f aca="false">INDEX(Dados!$B:$B,MATCH(66,Dados!$O:$O,0))</f>
        <v>THIERRY MUGLER</v>
      </c>
      <c r="C75" s="8" t="str">
        <f aca="false">INDEX(Dados!$C:$C,MATCH(66,Dados!$O:$O,0))</f>
        <v>Designer/Importado</v>
      </c>
      <c r="D75" s="8" t="str">
        <f aca="false">INDEX(Dados!$D:$D,MATCH(66,Dados!$O:$O,0))</f>
        <v>Não</v>
      </c>
      <c r="E75" s="13" t="n">
        <f aca="false">INDEX(Dados!$N:$N,MATCH(66,Dados!$O:$O,0))</f>
        <v>36.901363490176</v>
      </c>
      <c r="F75" s="14" t="n">
        <f aca="false">INDEX(Dados!$H:$H,MATCH(66,Dados!$O:$O,0))</f>
        <v>787.797619047619</v>
      </c>
      <c r="G75" s="8" t="n">
        <f aca="false">INDEX(Dados!$K:$K,MATCH(66,Dados!$O:$O,0))</f>
        <v>4</v>
      </c>
      <c r="H75" s="8" t="str">
        <f aca="false">INDEX(Dados!$L:$L,MATCH(66,Dados!$O:$O,0))</f>
        <v>Alta</v>
      </c>
      <c r="I75" s="8" t="str">
        <f aca="false">INDEX(Dados!$I:$I,MATCH(66,Dados!$O:$O,0))</f>
        <v>Diminuindo</v>
      </c>
      <c r="J75" s="15" t="n">
        <f aca="false">INDEX(Dados!$F:$F,MATCH(66,Dados!$O:$O,0))</f>
        <v>264700</v>
      </c>
      <c r="K75" s="16" t="n">
        <f aca="false">INDEX(Dados!$G:$G,MATCH(66,Dados!$O:$O,0))</f>
        <v>336</v>
      </c>
      <c r="L75" s="17" t="n">
        <f aca="false">INDEX(Dados!$J:$J,MATCH(66,Dados!$O:$O,0))</f>
        <v>0.4737</v>
      </c>
    </row>
    <row r="76" customFormat="false" ht="15" hidden="false" customHeight="false" outlineLevel="0" collapsed="false">
      <c r="A76" s="8" t="str">
        <f aca="false">IF(67&lt;=12,"Onda 1 — testar agora",IF(67&lt;=40,"Onda 2 — próximos passos","Onda 3 — depois de consolidar"))</f>
        <v>Onda 3 — depois de consolidar</v>
      </c>
      <c r="B76" s="8" t="str">
        <f aca="false">INDEX(Dados!$B:$B,MATCH(67,Dados!$O:$O,0))</f>
        <v>KHADLAJ</v>
      </c>
      <c r="C76" s="8" t="str">
        <f aca="false">INDEX(Dados!$C:$C,MATCH(67,Dados!$O:$O,0))</f>
        <v>Árabe/Import Acessível</v>
      </c>
      <c r="D76" s="8" t="str">
        <f aca="false">INDEX(Dados!$D:$D,MATCH(67,Dados!$O:$O,0))</f>
        <v>Não</v>
      </c>
      <c r="E76" s="13" t="n">
        <f aca="false">INDEX(Dados!$N:$N,MATCH(67,Dados!$O:$O,0))</f>
        <v>36.4683178616475</v>
      </c>
      <c r="F76" s="14" t="n">
        <f aca="false">INDEX(Dados!$H:$H,MATCH(67,Dados!$O:$O,0))</f>
        <v>213.45</v>
      </c>
      <c r="G76" s="8" t="n">
        <f aca="false">INDEX(Dados!$K:$K,MATCH(67,Dados!$O:$O,0))</f>
        <v>53</v>
      </c>
      <c r="H76" s="8" t="str">
        <f aca="false">INDEX(Dados!$L:$L,MATCH(67,Dados!$O:$O,0))</f>
        <v>Média</v>
      </c>
      <c r="I76" s="8" t="str">
        <f aca="false">INDEX(Dados!$I:$I,MATCH(67,Dados!$O:$O,0))</f>
        <v>Diminuindo</v>
      </c>
      <c r="J76" s="15" t="n">
        <f aca="false">INDEX(Dados!$F:$F,MATCH(67,Dados!$O:$O,0))</f>
        <v>426900</v>
      </c>
      <c r="K76" s="16" t="n">
        <f aca="false">INDEX(Dados!$G:$G,MATCH(67,Dados!$O:$O,0))</f>
        <v>2000</v>
      </c>
      <c r="L76" s="17" t="n">
        <f aca="false">INDEX(Dados!$J:$J,MATCH(67,Dados!$O:$O,0))</f>
        <v>0.6425</v>
      </c>
    </row>
    <row r="77" customFormat="false" ht="15" hidden="false" customHeight="false" outlineLevel="0" collapsed="false">
      <c r="A77" s="8" t="str">
        <f aca="false">IF(68&lt;=12,"Onda 1 — testar agora",IF(68&lt;=40,"Onda 2 — próximos passos","Onda 3 — depois de consolidar"))</f>
        <v>Onda 3 — depois de consolidar</v>
      </c>
      <c r="B77" s="8" t="str">
        <f aca="false">INDEX(Dados!$B:$B,MATCH(68,Dados!$O:$O,0))</f>
        <v>MAHOGANY</v>
      </c>
      <c r="C77" s="8" t="str">
        <f aca="false">INDEX(Dados!$C:$C,MATCH(68,Dados!$O:$O,0))</f>
        <v>Nacional/Massa</v>
      </c>
      <c r="D77" s="8" t="str">
        <f aca="false">INDEX(Dados!$D:$D,MATCH(68,Dados!$O:$O,0))</f>
        <v>Não</v>
      </c>
      <c r="E77" s="13" t="n">
        <f aca="false">INDEX(Dados!$N:$N,MATCH(68,Dados!$O:$O,0))</f>
        <v>35.8715046001881</v>
      </c>
      <c r="F77" s="14" t="n">
        <f aca="false">INDEX(Dados!$H:$H,MATCH(68,Dados!$O:$O,0))</f>
        <v>156.675675675676</v>
      </c>
      <c r="G77" s="8" t="n">
        <f aca="false">INDEX(Dados!$K:$K,MATCH(68,Dados!$O:$O,0))</f>
        <v>45</v>
      </c>
      <c r="H77" s="8" t="str">
        <f aca="false">INDEX(Dados!$L:$L,MATCH(68,Dados!$O:$O,0))</f>
        <v>Média</v>
      </c>
      <c r="I77" s="8" t="str">
        <f aca="false">INDEX(Dados!$I:$I,MATCH(68,Dados!$O:$O,0))</f>
        <v>Diminuindo</v>
      </c>
      <c r="J77" s="15" t="n">
        <f aca="false">INDEX(Dados!$F:$F,MATCH(68,Dados!$O:$O,0))</f>
        <v>579700</v>
      </c>
      <c r="K77" s="16" t="n">
        <f aca="false">INDEX(Dados!$G:$G,MATCH(68,Dados!$O:$O,0))</f>
        <v>3700</v>
      </c>
      <c r="L77" s="17" t="n">
        <f aca="false">INDEX(Dados!$J:$J,MATCH(68,Dados!$O:$O,0))</f>
        <v>0.6827</v>
      </c>
    </row>
    <row r="78" customFormat="false" ht="15" hidden="false" customHeight="false" outlineLevel="0" collapsed="false">
      <c r="A78" s="8" t="str">
        <f aca="false">IF(69&lt;=12,"Onda 1 — testar agora",IF(69&lt;=40,"Onda 2 — próximos passos","Onda 3 — depois de consolidar"))</f>
        <v>Onda 3 — depois de consolidar</v>
      </c>
      <c r="B78" s="8" t="str">
        <f aca="false">INDEX(Dados!$B:$B,MATCH(69,Dados!$O:$O,0))</f>
        <v>CALVIN KLEIN</v>
      </c>
      <c r="C78" s="8" t="str">
        <f aca="false">INDEX(Dados!$C:$C,MATCH(69,Dados!$O:$O,0))</f>
        <v>Designer/Importado</v>
      </c>
      <c r="D78" s="8" t="str">
        <f aca="false">INDEX(Dados!$D:$D,MATCH(69,Dados!$O:$O,0))</f>
        <v>Não</v>
      </c>
      <c r="E78" s="13" t="n">
        <f aca="false">INDEX(Dados!$N:$N,MATCH(69,Dados!$O:$O,0))</f>
        <v>35.7235065646605</v>
      </c>
      <c r="F78" s="14" t="n">
        <f aca="false">INDEX(Dados!$H:$H,MATCH(69,Dados!$O:$O,0))</f>
        <v>282.051282051282</v>
      </c>
      <c r="G78" s="8" t="n">
        <f aca="false">INDEX(Dados!$K:$K,MATCH(69,Dados!$O:$O,0))</f>
        <v>106</v>
      </c>
      <c r="H78" s="8" t="str">
        <f aca="false">INDEX(Dados!$L:$L,MATCH(69,Dados!$O:$O,0))</f>
        <v>Alta</v>
      </c>
      <c r="I78" s="8" t="str">
        <f aca="false">INDEX(Dados!$I:$I,MATCH(69,Dados!$O:$O,0))</f>
        <v>Estável</v>
      </c>
      <c r="J78" s="15" t="n">
        <f aca="false">INDEX(Dados!$F:$F,MATCH(69,Dados!$O:$O,0))</f>
        <v>2200000</v>
      </c>
      <c r="K78" s="16" t="n">
        <f aca="false">INDEX(Dados!$G:$G,MATCH(69,Dados!$O:$O,0))</f>
        <v>7800</v>
      </c>
      <c r="L78" s="17" t="n">
        <f aca="false">INDEX(Dados!$J:$J,MATCH(69,Dados!$O:$O,0))</f>
        <v>0.7126</v>
      </c>
    </row>
    <row r="79" customFormat="false" ht="15" hidden="false" customHeight="false" outlineLevel="0" collapsed="false">
      <c r="A79" s="8" t="str">
        <f aca="false">IF(70&lt;=12,"Onda 1 — testar agora",IF(70&lt;=40,"Onda 2 — próximos passos","Onda 3 — depois de consolidar"))</f>
        <v>Onda 3 — depois de consolidar</v>
      </c>
      <c r="B79" s="8" t="str">
        <f aca="false">INDEX(Dados!$B:$B,MATCH(70,Dados!$O:$O,0))</f>
        <v>TOUTI</v>
      </c>
      <c r="C79" s="8" t="str">
        <f aca="false">INDEX(Dados!$C:$C,MATCH(70,Dados!$O:$O,0))</f>
        <v>A verificar</v>
      </c>
      <c r="D79" s="8" t="str">
        <f aca="false">INDEX(Dados!$D:$D,MATCH(70,Dados!$O:$O,0))</f>
        <v>Não</v>
      </c>
      <c r="E79" s="13" t="n">
        <f aca="false">INDEX(Dados!$N:$N,MATCH(70,Dados!$O:$O,0))</f>
        <v>35.6452099682435</v>
      </c>
      <c r="F79" s="14" t="n">
        <f aca="false">INDEX(Dados!$H:$H,MATCH(70,Dados!$O:$O,0))</f>
        <v>73.2266666666667</v>
      </c>
      <c r="G79" s="8" t="n">
        <f aca="false">INDEX(Dados!$K:$K,MATCH(70,Dados!$O:$O,0))</f>
        <v>14</v>
      </c>
      <c r="H79" s="8" t="str">
        <f aca="false">INDEX(Dados!$L:$L,MATCH(70,Dados!$O:$O,0))</f>
        <v>Média</v>
      </c>
      <c r="I79" s="8" t="str">
        <f aca="false">INDEX(Dados!$I:$I,MATCH(70,Dados!$O:$O,0))</f>
        <v>Diminuindo</v>
      </c>
      <c r="J79" s="15" t="n">
        <f aca="false">INDEX(Dados!$F:$F,MATCH(70,Dados!$O:$O,0))</f>
        <v>549200</v>
      </c>
      <c r="K79" s="16" t="n">
        <f aca="false">INDEX(Dados!$G:$G,MATCH(70,Dados!$O:$O,0))</f>
        <v>7500</v>
      </c>
      <c r="L79" s="17" t="n">
        <f aca="false">INDEX(Dados!$J:$J,MATCH(70,Dados!$O:$O,0))</f>
        <v>0.424</v>
      </c>
    </row>
    <row r="80" customFormat="false" ht="15" hidden="false" customHeight="false" outlineLevel="0" collapsed="false">
      <c r="A80" s="8" t="str">
        <f aca="false">IF(71&lt;=12,"Onda 1 — testar agora",IF(71&lt;=40,"Onda 2 — próximos passos","Onda 3 — depois de consolidar"))</f>
        <v>Onda 3 — depois de consolidar</v>
      </c>
      <c r="B80" s="8" t="str">
        <f aca="false">INDEX(Dados!$B:$B,MATCH(71,Dados!$O:$O,0))</f>
        <v>MAISON ALHAMBRA</v>
      </c>
      <c r="C80" s="8" t="str">
        <f aca="false">INDEX(Dados!$C:$C,MATCH(71,Dados!$O:$O,0))</f>
        <v>Árabe/Import Acessível</v>
      </c>
      <c r="D80" s="8" t="str">
        <f aca="false">INDEX(Dados!$D:$D,MATCH(71,Dados!$O:$O,0))</f>
        <v>Não</v>
      </c>
      <c r="E80" s="13" t="n">
        <f aca="false">INDEX(Dados!$N:$N,MATCH(71,Dados!$O:$O,0))</f>
        <v>34.8850225078951</v>
      </c>
      <c r="F80" s="14" t="n">
        <f aca="false">INDEX(Dados!$H:$H,MATCH(71,Dados!$O:$O,0))</f>
        <v>159.420289855073</v>
      </c>
      <c r="G80" s="8" t="n">
        <f aca="false">INDEX(Dados!$K:$K,MATCH(71,Dados!$O:$O,0))</f>
        <v>371</v>
      </c>
      <c r="H80" s="8" t="str">
        <f aca="false">INDEX(Dados!$L:$L,MATCH(71,Dados!$O:$O,0))</f>
        <v>Média</v>
      </c>
      <c r="I80" s="8" t="str">
        <f aca="false">INDEX(Dados!$I:$I,MATCH(71,Dados!$O:$O,0))</f>
        <v>Estável</v>
      </c>
      <c r="J80" s="15" t="n">
        <f aca="false">INDEX(Dados!$F:$F,MATCH(71,Dados!$O:$O,0))</f>
        <v>4400000</v>
      </c>
      <c r="K80" s="16" t="n">
        <f aca="false">INDEX(Dados!$G:$G,MATCH(71,Dados!$O:$O,0))</f>
        <v>27600</v>
      </c>
      <c r="L80" s="17" t="n">
        <f aca="false">INDEX(Dados!$J:$J,MATCH(71,Dados!$O:$O,0))</f>
        <v>0.6829</v>
      </c>
    </row>
    <row r="81" customFormat="false" ht="15" hidden="false" customHeight="false" outlineLevel="0" collapsed="false">
      <c r="A81" s="8" t="str">
        <f aca="false">IF(72&lt;=12,"Onda 1 — testar agora",IF(72&lt;=40,"Onda 2 — próximos passos","Onda 3 — depois de consolidar"))</f>
        <v>Onda 3 — depois de consolidar</v>
      </c>
      <c r="B81" s="8" t="str">
        <f aca="false">INDEX(Dados!$B:$B,MATCH(72,Dados!$O:$O,0))</f>
        <v>GUCCI</v>
      </c>
      <c r="C81" s="8" t="str">
        <f aca="false">INDEX(Dados!$C:$C,MATCH(72,Dados!$O:$O,0))</f>
        <v>Designer/Importado</v>
      </c>
      <c r="D81" s="8" t="str">
        <f aca="false">INDEX(Dados!$D:$D,MATCH(72,Dados!$O:$O,0))</f>
        <v>Não</v>
      </c>
      <c r="E81" s="13" t="n">
        <f aca="false">INDEX(Dados!$N:$N,MATCH(72,Dados!$O:$O,0))</f>
        <v>33.9748294038549</v>
      </c>
      <c r="F81" s="14" t="n">
        <f aca="false">INDEX(Dados!$H:$H,MATCH(72,Dados!$O:$O,0))</f>
        <v>658.252427184466</v>
      </c>
      <c r="G81" s="8" t="n">
        <f aca="false">INDEX(Dados!$K:$K,MATCH(72,Dados!$O:$O,0))</f>
        <v>32</v>
      </c>
      <c r="H81" s="8" t="str">
        <f aca="false">INDEX(Dados!$L:$L,MATCH(72,Dados!$O:$O,0))</f>
        <v>Alta</v>
      </c>
      <c r="I81" s="8" t="str">
        <f aca="false">INDEX(Dados!$I:$I,MATCH(72,Dados!$O:$O,0))</f>
        <v>Diminuindo</v>
      </c>
      <c r="J81" s="15" t="n">
        <f aca="false">INDEX(Dados!$F:$F,MATCH(72,Dados!$O:$O,0))</f>
        <v>271200</v>
      </c>
      <c r="K81" s="16" t="n">
        <f aca="false">INDEX(Dados!$G:$G,MATCH(72,Dados!$O:$O,0))</f>
        <v>412</v>
      </c>
      <c r="L81" s="17" t="n">
        <f aca="false">INDEX(Dados!$J:$J,MATCH(72,Dados!$O:$O,0))</f>
        <v>0.7015</v>
      </c>
    </row>
    <row r="82" customFormat="false" ht="15" hidden="false" customHeight="false" outlineLevel="0" collapsed="false">
      <c r="A82" s="8" t="str">
        <f aca="false">IF(73&lt;=12,"Onda 1 — testar agora",IF(73&lt;=40,"Onda 2 — próximos passos","Onda 3 — depois de consolidar"))</f>
        <v>Onda 3 — depois de consolidar</v>
      </c>
      <c r="B82" s="8" t="str">
        <f aca="false">INDEX(Dados!$B:$B,MATCH(73,Dados!$O:$O,0))</f>
        <v>EUDORA</v>
      </c>
      <c r="C82" s="8" t="str">
        <f aca="false">INDEX(Dados!$C:$C,MATCH(73,Dados!$O:$O,0))</f>
        <v>Nacional/Massa</v>
      </c>
      <c r="D82" s="8" t="str">
        <f aca="false">INDEX(Dados!$D:$D,MATCH(73,Dados!$O:$O,0))</f>
        <v>Não</v>
      </c>
      <c r="E82" s="13" t="n">
        <f aca="false">INDEX(Dados!$N:$N,MATCH(73,Dados!$O:$O,0))</f>
        <v>33.8263162361312</v>
      </c>
      <c r="F82" s="14" t="n">
        <f aca="false">INDEX(Dados!$H:$H,MATCH(73,Dados!$O:$O,0))</f>
        <v>98.9847715736041</v>
      </c>
      <c r="G82" s="8" t="n">
        <f aca="false">INDEX(Dados!$K:$K,MATCH(73,Dados!$O:$O,0))</f>
        <v>375</v>
      </c>
      <c r="H82" s="8" t="str">
        <f aca="false">INDEX(Dados!$L:$L,MATCH(73,Dados!$O:$O,0))</f>
        <v>Alta</v>
      </c>
      <c r="I82" s="8" t="str">
        <f aca="false">INDEX(Dados!$I:$I,MATCH(73,Dados!$O:$O,0))</f>
        <v>Crescendo</v>
      </c>
      <c r="J82" s="15" t="n">
        <f aca="false">INDEX(Dados!$F:$F,MATCH(73,Dados!$O:$O,0))</f>
        <v>3900000</v>
      </c>
      <c r="K82" s="16" t="n">
        <f aca="false">INDEX(Dados!$G:$G,MATCH(73,Dados!$O:$O,0))</f>
        <v>39400</v>
      </c>
      <c r="L82" s="17" t="n">
        <f aca="false">INDEX(Dados!$J:$J,MATCH(73,Dados!$O:$O,0))</f>
        <v>0.6278</v>
      </c>
    </row>
    <row r="83" customFormat="false" ht="15" hidden="false" customHeight="false" outlineLevel="0" collapsed="false">
      <c r="A83" s="8" t="str">
        <f aca="false">IF(74&lt;=12,"Onda 1 — testar agora",IF(74&lt;=40,"Onda 2 — próximos passos","Onda 3 — depois de consolidar"))</f>
        <v>Onda 3 — depois de consolidar</v>
      </c>
      <c r="B83" s="8" t="str">
        <f aca="false">INDEX(Dados!$B:$B,MATCH(74,Dados!$O:$O,0))</f>
        <v>MUGLER</v>
      </c>
      <c r="C83" s="8" t="str">
        <f aca="false">INDEX(Dados!$C:$C,MATCH(74,Dados!$O:$O,0))</f>
        <v>Designer/Importado</v>
      </c>
      <c r="D83" s="8" t="str">
        <f aca="false">INDEX(Dados!$D:$D,MATCH(74,Dados!$O:$O,0))</f>
        <v>Não</v>
      </c>
      <c r="E83" s="13" t="n">
        <f aca="false">INDEX(Dados!$N:$N,MATCH(74,Dados!$O:$O,0))</f>
        <v>33.5505778191979</v>
      </c>
      <c r="F83" s="14" t="n">
        <f aca="false">INDEX(Dados!$H:$H,MATCH(74,Dados!$O:$O,0))</f>
        <v>568.489583333333</v>
      </c>
      <c r="G83" s="8" t="n">
        <f aca="false">INDEX(Dados!$K:$K,MATCH(74,Dados!$O:$O,0))</f>
        <v>4</v>
      </c>
      <c r="H83" s="8" t="str">
        <f aca="false">INDEX(Dados!$L:$L,MATCH(74,Dados!$O:$O,0))</f>
        <v>Alta</v>
      </c>
      <c r="I83" s="8" t="str">
        <f aca="false">INDEX(Dados!$I:$I,MATCH(74,Dados!$O:$O,0))</f>
        <v>Diminuindo</v>
      </c>
      <c r="J83" s="15" t="n">
        <f aca="false">INDEX(Dados!$F:$F,MATCH(74,Dados!$O:$O,0))</f>
        <v>436600</v>
      </c>
      <c r="K83" s="16" t="n">
        <f aca="false">INDEX(Dados!$G:$G,MATCH(74,Dados!$O:$O,0))</f>
        <v>768</v>
      </c>
      <c r="L83" s="17" t="n">
        <f aca="false">INDEX(Dados!$J:$J,MATCH(74,Dados!$O:$O,0))</f>
        <v>0.75</v>
      </c>
    </row>
    <row r="84" customFormat="false" ht="15" hidden="false" customHeight="false" outlineLevel="0" collapsed="false">
      <c r="A84" s="8" t="str">
        <f aca="false">IF(75&lt;=12,"Onda 1 — testar agora",IF(75&lt;=40,"Onda 2 — próximos passos","Onda 3 — depois de consolidar"))</f>
        <v>Onda 3 — depois de consolidar</v>
      </c>
      <c r="B84" s="8" t="str">
        <f aca="false">INDEX(Dados!$B:$B,MATCH(75,Dados!$O:$O,0))</f>
        <v>GIORGIO ARMANI</v>
      </c>
      <c r="C84" s="8" t="str">
        <f aca="false">INDEX(Dados!$C:$C,MATCH(75,Dados!$O:$O,0))</f>
        <v>Designer/Importado</v>
      </c>
      <c r="D84" s="8" t="str">
        <f aca="false">INDEX(Dados!$D:$D,MATCH(75,Dados!$O:$O,0))</f>
        <v>Não</v>
      </c>
      <c r="E84" s="13" t="n">
        <f aca="false">INDEX(Dados!$N:$N,MATCH(75,Dados!$O:$O,0))</f>
        <v>33.024123308767</v>
      </c>
      <c r="F84" s="14" t="n">
        <f aca="false">INDEX(Dados!$H:$H,MATCH(75,Dados!$O:$O,0))</f>
        <v>538.461538461539</v>
      </c>
      <c r="G84" s="8" t="n">
        <f aca="false">INDEX(Dados!$K:$K,MATCH(75,Dados!$O:$O,0))</f>
        <v>6</v>
      </c>
      <c r="H84" s="8" t="str">
        <f aca="false">INDEX(Dados!$L:$L,MATCH(75,Dados!$O:$O,0))</f>
        <v>Alta</v>
      </c>
      <c r="I84" s="8" t="str">
        <f aca="false">INDEX(Dados!$I:$I,MATCH(75,Dados!$O:$O,0))</f>
        <v>Diminuindo</v>
      </c>
      <c r="J84" s="15" t="n">
        <f aca="false">INDEX(Dados!$F:$F,MATCH(75,Dados!$O:$O,0))</f>
        <v>1400000</v>
      </c>
      <c r="K84" s="16" t="n">
        <f aca="false">INDEX(Dados!$G:$G,MATCH(75,Dados!$O:$O,0))</f>
        <v>2600</v>
      </c>
      <c r="L84" s="17" t="n">
        <f aca="false">INDEX(Dados!$J:$J,MATCH(75,Dados!$O:$O,0))</f>
        <v>0.8732</v>
      </c>
    </row>
    <row r="85" customFormat="false" ht="15" hidden="false" customHeight="false" outlineLevel="0" collapsed="false">
      <c r="A85" s="8" t="str">
        <f aca="false">IF(76&lt;=12,"Onda 1 — testar agora",IF(76&lt;=40,"Onda 2 — próximos passos","Onda 3 — depois de consolidar"))</f>
        <v>Onda 3 — depois de consolidar</v>
      </c>
      <c r="B85" s="8" t="str">
        <f aca="false">INDEX(Dados!$B:$B,MATCH(76,Dados!$O:$O,0))</f>
        <v>LANCÔME</v>
      </c>
      <c r="C85" s="8" t="str">
        <f aca="false">INDEX(Dados!$C:$C,MATCH(76,Dados!$O:$O,0))</f>
        <v>Designer/Importado Premium</v>
      </c>
      <c r="D85" s="8" t="str">
        <f aca="false">INDEX(Dados!$D:$D,MATCH(76,Dados!$O:$O,0))</f>
        <v>Não</v>
      </c>
      <c r="E85" s="13" t="n">
        <f aca="false">INDEX(Dados!$N:$N,MATCH(76,Dados!$O:$O,0))</f>
        <v>32.8730133031703</v>
      </c>
      <c r="F85" s="14" t="n">
        <f aca="false">INDEX(Dados!$H:$H,MATCH(76,Dados!$O:$O,0))</f>
        <v>528.571428571429</v>
      </c>
      <c r="G85" s="8" t="n">
        <f aca="false">INDEX(Dados!$K:$K,MATCH(76,Dados!$O:$O,0))</f>
        <v>6</v>
      </c>
      <c r="H85" s="8" t="str">
        <f aca="false">INDEX(Dados!$L:$L,MATCH(76,Dados!$O:$O,0))</f>
        <v>Alta</v>
      </c>
      <c r="I85" s="8" t="str">
        <f aca="false">INDEX(Dados!$I:$I,MATCH(76,Dados!$O:$O,0))</f>
        <v>Diminuindo</v>
      </c>
      <c r="J85" s="15" t="n">
        <f aca="false">INDEX(Dados!$F:$F,MATCH(76,Dados!$O:$O,0))</f>
        <v>3700000</v>
      </c>
      <c r="K85" s="16" t="n">
        <f aca="false">INDEX(Dados!$G:$G,MATCH(76,Dados!$O:$O,0))</f>
        <v>7000</v>
      </c>
      <c r="L85" s="17" t="n">
        <f aca="false">INDEX(Dados!$J:$J,MATCH(76,Dados!$O:$O,0))</f>
        <v>0.5949</v>
      </c>
    </row>
    <row r="86" customFormat="false" ht="15" hidden="false" customHeight="false" outlineLevel="0" collapsed="false">
      <c r="A86" s="8" t="str">
        <f aca="false">IF(77&lt;=12,"Onda 1 — testar agora",IF(77&lt;=40,"Onda 2 — próximos passos","Onda 3 — depois de consolidar"))</f>
        <v>Onda 3 — depois de consolidar</v>
      </c>
      <c r="B86" s="8" t="str">
        <f aca="false">INDEX(Dados!$B:$B,MATCH(77,Dados!$O:$O,0))</f>
        <v>RALPH LAUREN</v>
      </c>
      <c r="C86" s="8" t="str">
        <f aca="false">INDEX(Dados!$C:$C,MATCH(77,Dados!$O:$O,0))</f>
        <v>Designer/Importado</v>
      </c>
      <c r="D86" s="8" t="str">
        <f aca="false">INDEX(Dados!$D:$D,MATCH(77,Dados!$O:$O,0))</f>
        <v>Não</v>
      </c>
      <c r="E86" s="13" t="n">
        <f aca="false">INDEX(Dados!$N:$N,MATCH(77,Dados!$O:$O,0))</f>
        <v>30.6051260740452</v>
      </c>
      <c r="F86" s="14" t="n">
        <f aca="false">INDEX(Dados!$H:$H,MATCH(77,Dados!$O:$O,0))</f>
        <v>382.352941176471</v>
      </c>
      <c r="G86" s="8" t="n">
        <f aca="false">INDEX(Dados!$K:$K,MATCH(77,Dados!$O:$O,0))</f>
        <v>7</v>
      </c>
      <c r="H86" s="8" t="str">
        <f aca="false">INDEX(Dados!$L:$L,MATCH(77,Dados!$O:$O,0))</f>
        <v>Alta</v>
      </c>
      <c r="I86" s="8" t="str">
        <f aca="false">INDEX(Dados!$I:$I,MATCH(77,Dados!$O:$O,0))</f>
        <v>Diminuindo</v>
      </c>
      <c r="J86" s="15" t="n">
        <f aca="false">INDEX(Dados!$F:$F,MATCH(77,Dados!$O:$O,0))</f>
        <v>1300000</v>
      </c>
      <c r="K86" s="16" t="n">
        <f aca="false">INDEX(Dados!$G:$G,MATCH(77,Dados!$O:$O,0))</f>
        <v>3400</v>
      </c>
      <c r="L86" s="17" t="n">
        <f aca="false">INDEX(Dados!$J:$J,MATCH(77,Dados!$O:$O,0))</f>
        <v>0.6327</v>
      </c>
    </row>
    <row r="87" customFormat="false" ht="15" hidden="false" customHeight="false" outlineLevel="0" collapsed="false">
      <c r="A87" s="8" t="str">
        <f aca="false">IF(78&lt;=12,"Onda 1 — testar agora",IF(78&lt;=40,"Onda 2 — próximos passos","Onda 3 — depois de consolidar"))</f>
        <v>Onda 3 — depois de consolidar</v>
      </c>
      <c r="B87" s="8" t="str">
        <f aca="false">INDEX(Dados!$B:$B,MATCH(78,Dados!$O:$O,0))</f>
        <v>O BOTICÁRIO</v>
      </c>
      <c r="C87" s="8" t="str">
        <f aca="false">INDEX(Dados!$C:$C,MATCH(78,Dados!$O:$O,0))</f>
        <v>Nacional/Massa</v>
      </c>
      <c r="D87" s="8" t="str">
        <f aca="false">INDEX(Dados!$D:$D,MATCH(78,Dados!$O:$O,0))</f>
        <v>Não</v>
      </c>
      <c r="E87" s="13" t="n">
        <f aca="false">INDEX(Dados!$N:$N,MATCH(78,Dados!$O:$O,0))</f>
        <v>29.7278302781437</v>
      </c>
      <c r="F87" s="14" t="n">
        <f aca="false">INDEX(Dados!$H:$H,MATCH(78,Dados!$O:$O,0))</f>
        <v>165.073848827107</v>
      </c>
      <c r="G87" s="8" t="n">
        <f aca="false">INDEX(Dados!$K:$K,MATCH(78,Dados!$O:$O,0))</f>
        <v>526</v>
      </c>
      <c r="H87" s="8" t="str">
        <f aca="false">INDEX(Dados!$L:$L,MATCH(78,Dados!$O:$O,0))</f>
        <v>Média</v>
      </c>
      <c r="I87" s="8" t="str">
        <f aca="false">INDEX(Dados!$I:$I,MATCH(78,Dados!$O:$O,0))</f>
        <v>Estável</v>
      </c>
      <c r="J87" s="15" t="n">
        <f aca="false">INDEX(Dados!$F:$F,MATCH(78,Dados!$O:$O,0))</f>
        <v>19000000</v>
      </c>
      <c r="K87" s="16" t="n">
        <f aca="false">INDEX(Dados!$G:$G,MATCH(78,Dados!$O:$O,0))</f>
        <v>115100</v>
      </c>
      <c r="L87" s="17" t="n">
        <f aca="false">INDEX(Dados!$J:$J,MATCH(78,Dados!$O:$O,0))</f>
        <v>0.632</v>
      </c>
    </row>
    <row r="88" customFormat="false" ht="15" hidden="false" customHeight="false" outlineLevel="0" collapsed="false">
      <c r="A88" s="8" t="str">
        <f aca="false">IF(79&lt;=12,"Onda 1 — testar agora",IF(79&lt;=40,"Onda 2 — próximos passos","Onda 3 — depois de consolidar"))</f>
        <v>Onda 3 — depois de consolidar</v>
      </c>
      <c r="B88" s="8" t="str">
        <f aca="false">INDEX(Dados!$B:$B,MATCH(79,Dados!$O:$O,0))</f>
        <v>HUGO BOSS</v>
      </c>
      <c r="C88" s="8" t="str">
        <f aca="false">INDEX(Dados!$C:$C,MATCH(79,Dados!$O:$O,0))</f>
        <v>Designer/Importado</v>
      </c>
      <c r="D88" s="8" t="str">
        <f aca="false">INDEX(Dados!$D:$D,MATCH(79,Dados!$O:$O,0))</f>
        <v>Não</v>
      </c>
      <c r="E88" s="13" t="n">
        <f aca="false">INDEX(Dados!$N:$N,MATCH(79,Dados!$O:$O,0))</f>
        <v>28.4045822152552</v>
      </c>
      <c r="F88" s="14" t="n">
        <f aca="false">INDEX(Dados!$H:$H,MATCH(79,Dados!$O:$O,0))</f>
        <v>388.888888888889</v>
      </c>
      <c r="G88" s="8" t="n">
        <f aca="false">INDEX(Dados!$K:$K,MATCH(79,Dados!$O:$O,0))</f>
        <v>75</v>
      </c>
      <c r="H88" s="8" t="str">
        <f aca="false">INDEX(Dados!$L:$L,MATCH(79,Dados!$O:$O,0))</f>
        <v>Alta</v>
      </c>
      <c r="I88" s="8" t="str">
        <f aca="false">INDEX(Dados!$I:$I,MATCH(79,Dados!$O:$O,0))</f>
        <v>Diminuindo</v>
      </c>
      <c r="J88" s="15" t="n">
        <f aca="false">INDEX(Dados!$F:$F,MATCH(79,Dados!$O:$O,0))</f>
        <v>1400000</v>
      </c>
      <c r="K88" s="16" t="n">
        <f aca="false">INDEX(Dados!$G:$G,MATCH(79,Dados!$O:$O,0))</f>
        <v>3600</v>
      </c>
      <c r="L88" s="17" t="n">
        <f aca="false">INDEX(Dados!$J:$J,MATCH(79,Dados!$O:$O,0))</f>
        <v>0.7647</v>
      </c>
    </row>
    <row r="89" customFormat="false" ht="15" hidden="false" customHeight="false" outlineLevel="0" collapsed="false">
      <c r="A89" s="8" t="str">
        <f aca="false">IF(80&lt;=12,"Onda 1 — testar agora",IF(80&lt;=40,"Onda 2 — próximos passos","Onda 3 — depois de consolidar"))</f>
        <v>Onda 3 — depois de consolidar</v>
      </c>
      <c r="B89" s="8" t="str">
        <f aca="false">INDEX(Dados!$B:$B,MATCH(80,Dados!$O:$O,0))</f>
        <v>MERCEDES-BENZ</v>
      </c>
      <c r="C89" s="8" t="str">
        <f aca="false">INDEX(Dados!$C:$C,MATCH(80,Dados!$O:$O,0))</f>
        <v>Designer/Importado</v>
      </c>
      <c r="D89" s="8" t="str">
        <f aca="false">INDEX(Dados!$D:$D,MATCH(80,Dados!$O:$O,0))</f>
        <v>Não</v>
      </c>
      <c r="E89" s="13" t="n">
        <f aca="false">INDEX(Dados!$N:$N,MATCH(80,Dados!$O:$O,0))</f>
        <v>27.7861963887523</v>
      </c>
      <c r="F89" s="14" t="n">
        <f aca="false">INDEX(Dados!$H:$H,MATCH(80,Dados!$O:$O,0))</f>
        <v>304.133064516129</v>
      </c>
      <c r="G89" s="8" t="n">
        <f aca="false">INDEX(Dados!$K:$K,MATCH(80,Dados!$O:$O,0))</f>
        <v>55</v>
      </c>
      <c r="H89" s="8" t="str">
        <f aca="false">INDEX(Dados!$L:$L,MATCH(80,Dados!$O:$O,0))</f>
        <v>Alta</v>
      </c>
      <c r="I89" s="8" t="str">
        <f aca="false">INDEX(Dados!$I:$I,MATCH(80,Dados!$O:$O,0))</f>
        <v>Diminuindo</v>
      </c>
      <c r="J89" s="15" t="n">
        <f aca="false">INDEX(Dados!$F:$F,MATCH(80,Dados!$O:$O,0))</f>
        <v>301700</v>
      </c>
      <c r="K89" s="16" t="n">
        <f aca="false">INDEX(Dados!$G:$G,MATCH(80,Dados!$O:$O,0))</f>
        <v>992</v>
      </c>
      <c r="L89" s="17" t="n">
        <f aca="false">INDEX(Dados!$J:$J,MATCH(80,Dados!$O:$O,0))</f>
        <v>0.6643</v>
      </c>
    </row>
    <row r="90" customFormat="false" ht="15" hidden="false" customHeight="false" outlineLevel="0" collapsed="false">
      <c r="A90" s="8" t="str">
        <f aca="false">IF(81&lt;=12,"Onda 1 — testar agora",IF(81&lt;=40,"Onda 2 — próximos passos","Onda 3 — depois de consolidar"))</f>
        <v>Onda 3 — depois de consolidar</v>
      </c>
      <c r="B90" s="8" t="str">
        <f aca="false">INDEX(Dados!$B:$B,MATCH(81,Dados!$O:$O,0))</f>
        <v>FINKÈ</v>
      </c>
      <c r="C90" s="8" t="str">
        <f aca="false">INDEX(Dados!$C:$C,MATCH(81,Dados!$O:$O,0))</f>
        <v>A verificar</v>
      </c>
      <c r="D90" s="8" t="str">
        <f aca="false">INDEX(Dados!$D:$D,MATCH(81,Dados!$O:$O,0))</f>
        <v>Não</v>
      </c>
      <c r="E90" s="13" t="n">
        <f aca="false">INDEX(Dados!$N:$N,MATCH(81,Dados!$O:$O,0))</f>
        <v>27.6061627119608</v>
      </c>
      <c r="F90" s="14" t="n">
        <f aca="false">INDEX(Dados!$H:$H,MATCH(81,Dados!$O:$O,0))</f>
        <v>188.285714285714</v>
      </c>
      <c r="G90" s="8" t="n">
        <f aca="false">INDEX(Dados!$K:$K,MATCH(81,Dados!$O:$O,0))</f>
        <v>8</v>
      </c>
      <c r="H90" s="8" t="str">
        <f aca="false">INDEX(Dados!$L:$L,MATCH(81,Dados!$O:$O,0))</f>
        <v>Alta</v>
      </c>
      <c r="I90" s="8" t="str">
        <f aca="false">INDEX(Dados!$I:$I,MATCH(81,Dados!$O:$O,0))</f>
        <v>Diminuindo</v>
      </c>
      <c r="J90" s="15" t="n">
        <f aca="false">INDEX(Dados!$F:$F,MATCH(81,Dados!$O:$O,0))</f>
        <v>263600</v>
      </c>
      <c r="K90" s="16" t="n">
        <f aca="false">INDEX(Dados!$G:$G,MATCH(81,Dados!$O:$O,0))</f>
        <v>1400</v>
      </c>
      <c r="L90" s="17" t="n">
        <f aca="false">INDEX(Dados!$J:$J,MATCH(81,Dados!$O:$O,0))</f>
        <v>0.4231</v>
      </c>
    </row>
    <row r="91" customFormat="false" ht="15" hidden="false" customHeight="false" outlineLevel="0" collapsed="false">
      <c r="A91" s="8" t="str">
        <f aca="false">IF(82&lt;=12,"Onda 1 — testar agora",IF(82&lt;=40,"Onda 2 — próximos passos","Onda 3 — depois de consolidar"))</f>
        <v>Onda 3 — depois de consolidar</v>
      </c>
      <c r="B91" s="8" t="str">
        <f aca="false">INDEX(Dados!$B:$B,MATCH(82,Dados!$O:$O,0))</f>
        <v>JACQUES BOGART</v>
      </c>
      <c r="C91" s="8" t="str">
        <f aca="false">INDEX(Dados!$C:$C,MATCH(82,Dados!$O:$O,0))</f>
        <v>Designer/Importado</v>
      </c>
      <c r="D91" s="8" t="str">
        <f aca="false">INDEX(Dados!$D:$D,MATCH(82,Dados!$O:$O,0))</f>
        <v>Não</v>
      </c>
      <c r="E91" s="13" t="n">
        <f aca="false">INDEX(Dados!$N:$N,MATCH(82,Dados!$O:$O,0))</f>
        <v>27.2300607147897</v>
      </c>
      <c r="F91" s="14" t="n">
        <f aca="false">INDEX(Dados!$H:$H,MATCH(82,Dados!$O:$O,0))</f>
        <v>265.52</v>
      </c>
      <c r="G91" s="8" t="n">
        <f aca="false">INDEX(Dados!$K:$K,MATCH(82,Dados!$O:$O,0))</f>
        <v>54</v>
      </c>
      <c r="H91" s="8" t="str">
        <f aca="false">INDEX(Dados!$L:$L,MATCH(82,Dados!$O:$O,0))</f>
        <v>Alta</v>
      </c>
      <c r="I91" s="8" t="str">
        <f aca="false">INDEX(Dados!$I:$I,MATCH(82,Dados!$O:$O,0))</f>
        <v>Diminuindo</v>
      </c>
      <c r="J91" s="15" t="n">
        <f aca="false">INDEX(Dados!$F:$F,MATCH(82,Dados!$O:$O,0))</f>
        <v>663800</v>
      </c>
      <c r="K91" s="16" t="n">
        <f aca="false">INDEX(Dados!$G:$G,MATCH(82,Dados!$O:$O,0))</f>
        <v>2500</v>
      </c>
      <c r="L91" s="17" t="n">
        <f aca="false">INDEX(Dados!$J:$J,MATCH(82,Dados!$O:$O,0))</f>
        <v>0.6284</v>
      </c>
    </row>
    <row r="92" customFormat="false" ht="15" hidden="false" customHeight="false" outlineLevel="0" collapsed="false">
      <c r="A92" s="8" t="str">
        <f aca="false">IF(83&lt;=12,"Onda 1 — testar agora",IF(83&lt;=40,"Onda 2 — próximos passos","Onda 3 — depois de consolidar"))</f>
        <v>Onda 3 — depois de consolidar</v>
      </c>
      <c r="B92" s="8" t="str">
        <f aca="false">INDEX(Dados!$B:$B,MATCH(83,Dados!$O:$O,0))</f>
        <v>YEAR ONE PERFUMES</v>
      </c>
      <c r="C92" s="8" t="str">
        <f aca="false">INDEX(Dados!$C:$C,MATCH(83,Dados!$O:$O,0))</f>
        <v>A verificar</v>
      </c>
      <c r="D92" s="8" t="str">
        <f aca="false">INDEX(Dados!$D:$D,MATCH(83,Dados!$O:$O,0))</f>
        <v>Não</v>
      </c>
      <c r="E92" s="13" t="n">
        <f aca="false">INDEX(Dados!$N:$N,MATCH(83,Dados!$O:$O,0))</f>
        <v>26.9224178000597</v>
      </c>
      <c r="F92" s="14" t="n">
        <f aca="false">INDEX(Dados!$H:$H,MATCH(83,Dados!$O:$O,0))</f>
        <v>130.25</v>
      </c>
      <c r="G92" s="8" t="n">
        <f aca="false">INDEX(Dados!$K:$K,MATCH(83,Dados!$O:$O,0))</f>
        <v>2</v>
      </c>
      <c r="H92" s="8" t="str">
        <f aca="false">INDEX(Dados!$L:$L,MATCH(83,Dados!$O:$O,0))</f>
        <v>Alta</v>
      </c>
      <c r="I92" s="8" t="str">
        <f aca="false">INDEX(Dados!$I:$I,MATCH(83,Dados!$O:$O,0))</f>
        <v>Diminuindo</v>
      </c>
      <c r="J92" s="15" t="n">
        <f aca="false">INDEX(Dados!$F:$F,MATCH(83,Dados!$O:$O,0))</f>
        <v>364700</v>
      </c>
      <c r="K92" s="16" t="n">
        <f aca="false">INDEX(Dados!$G:$G,MATCH(83,Dados!$O:$O,0))</f>
        <v>2800</v>
      </c>
      <c r="L92" s="17" t="n">
        <f aca="false">INDEX(Dados!$J:$J,MATCH(83,Dados!$O:$O,0))</f>
        <v>0.1579</v>
      </c>
    </row>
    <row r="93" customFormat="false" ht="15" hidden="false" customHeight="false" outlineLevel="0" collapsed="false">
      <c r="A93" s="8" t="str">
        <f aca="false">IF(84&lt;=12,"Onda 1 — testar agora",IF(84&lt;=40,"Onda 2 — próximos passos","Onda 3 — depois de consolidar"))</f>
        <v>Onda 3 — depois de consolidar</v>
      </c>
      <c r="B93" s="8" t="str">
        <f aca="false">INDEX(Dados!$B:$B,MATCH(84,Dados!$O:$O,0))</f>
        <v>HANNITY COSMETICOS</v>
      </c>
      <c r="C93" s="8" t="str">
        <f aca="false">INDEX(Dados!$C:$C,MATCH(84,Dados!$O:$O,0))</f>
        <v>A verificar</v>
      </c>
      <c r="D93" s="8" t="str">
        <f aca="false">INDEX(Dados!$D:$D,MATCH(84,Dados!$O:$O,0))</f>
        <v>Não</v>
      </c>
      <c r="E93" s="13" t="n">
        <f aca="false">INDEX(Dados!$N:$N,MATCH(84,Dados!$O:$O,0))</f>
        <v>26.762560890364</v>
      </c>
      <c r="F93" s="14" t="n">
        <f aca="false">INDEX(Dados!$H:$H,MATCH(84,Dados!$O:$O,0))</f>
        <v>144.142857142857</v>
      </c>
      <c r="G93" s="8" t="n">
        <f aca="false">INDEX(Dados!$K:$K,MATCH(84,Dados!$O:$O,0))</f>
        <v>13</v>
      </c>
      <c r="H93" s="8" t="str">
        <f aca="false">INDEX(Dados!$L:$L,MATCH(84,Dados!$O:$O,0))</f>
        <v>Alta</v>
      </c>
      <c r="I93" s="8" t="str">
        <f aca="false">INDEX(Dados!$I:$I,MATCH(84,Dados!$O:$O,0))</f>
        <v>Diminuindo</v>
      </c>
      <c r="J93" s="15" t="n">
        <f aca="false">INDEX(Dados!$F:$F,MATCH(84,Dados!$O:$O,0))</f>
        <v>302700</v>
      </c>
      <c r="K93" s="16" t="n">
        <f aca="false">INDEX(Dados!$G:$G,MATCH(84,Dados!$O:$O,0))</f>
        <v>2100</v>
      </c>
      <c r="L93" s="17" t="n">
        <f aca="false">INDEX(Dados!$J:$J,MATCH(84,Dados!$O:$O,0))</f>
        <v>0.9375</v>
      </c>
    </row>
    <row r="94" customFormat="false" ht="15" hidden="false" customHeight="false" outlineLevel="0" collapsed="false">
      <c r="A94" s="8" t="str">
        <f aca="false">IF(85&lt;=12,"Onda 1 — testar agora",IF(85&lt;=40,"Onda 2 — próximos passos","Onda 3 — depois de consolidar"))</f>
        <v>Onda 3 — depois de consolidar</v>
      </c>
      <c r="B94" s="8" t="str">
        <f aca="false">INDEX(Dados!$B:$B,MATCH(85,Dados!$O:$O,0))</f>
        <v>CACHAREL</v>
      </c>
      <c r="C94" s="8" t="str">
        <f aca="false">INDEX(Dados!$C:$C,MATCH(85,Dados!$O:$O,0))</f>
        <v>Designer/Importado</v>
      </c>
      <c r="D94" s="8" t="str">
        <f aca="false">INDEX(Dados!$D:$D,MATCH(85,Dados!$O:$O,0))</f>
        <v>Não</v>
      </c>
      <c r="E94" s="13" t="n">
        <f aca="false">INDEX(Dados!$N:$N,MATCH(85,Dados!$O:$O,0))</f>
        <v>26.7225153407907</v>
      </c>
      <c r="F94" s="14" t="n">
        <f aca="false">INDEX(Dados!$H:$H,MATCH(85,Dados!$O:$O,0))</f>
        <v>214.588235294118</v>
      </c>
      <c r="G94" s="8" t="n">
        <f aca="false">INDEX(Dados!$K:$K,MATCH(85,Dados!$O:$O,0))</f>
        <v>46</v>
      </c>
      <c r="H94" s="8" t="str">
        <f aca="false">INDEX(Dados!$L:$L,MATCH(85,Dados!$O:$O,0))</f>
        <v>Alta</v>
      </c>
      <c r="I94" s="8" t="str">
        <f aca="false">INDEX(Dados!$I:$I,MATCH(85,Dados!$O:$O,0))</f>
        <v>Diminuindo</v>
      </c>
      <c r="J94" s="15" t="n">
        <f aca="false">INDEX(Dados!$F:$F,MATCH(85,Dados!$O:$O,0))</f>
        <v>364800</v>
      </c>
      <c r="K94" s="16" t="n">
        <f aca="false">INDEX(Dados!$G:$G,MATCH(85,Dados!$O:$O,0))</f>
        <v>1700</v>
      </c>
      <c r="L94" s="17" t="n">
        <f aca="false">INDEX(Dados!$J:$J,MATCH(85,Dados!$O:$O,0))</f>
        <v>0.7025</v>
      </c>
    </row>
    <row r="95" customFormat="false" ht="15" hidden="false" customHeight="false" outlineLevel="0" collapsed="false">
      <c r="A95" s="8" t="str">
        <f aca="false">IF(86&lt;=12,"Onda 1 — testar agora",IF(86&lt;=40,"Onda 2 — próximos passos","Onda 3 — depois de consolidar"))</f>
        <v>Onda 3 — depois de consolidar</v>
      </c>
      <c r="B95" s="8" t="str">
        <f aca="false">INDEX(Dados!$B:$B,MATCH(86,Dados!$O:$O,0))</f>
        <v>DAVIDOFF</v>
      </c>
      <c r="C95" s="8" t="str">
        <f aca="false">INDEX(Dados!$C:$C,MATCH(86,Dados!$O:$O,0))</f>
        <v>Designer/Importado</v>
      </c>
      <c r="D95" s="8" t="str">
        <f aca="false">INDEX(Dados!$D:$D,MATCH(86,Dados!$O:$O,0))</f>
        <v>Não</v>
      </c>
      <c r="E95" s="13" t="n">
        <f aca="false">INDEX(Dados!$N:$N,MATCH(86,Dados!$O:$O,0))</f>
        <v>26.550059979675</v>
      </c>
      <c r="F95" s="14" t="n">
        <f aca="false">INDEX(Dados!$H:$H,MATCH(86,Dados!$O:$O,0))</f>
        <v>218.8</v>
      </c>
      <c r="G95" s="8" t="n">
        <f aca="false">INDEX(Dados!$K:$K,MATCH(86,Dados!$O:$O,0))</f>
        <v>53</v>
      </c>
      <c r="H95" s="8" t="str">
        <f aca="false">INDEX(Dados!$L:$L,MATCH(86,Dados!$O:$O,0))</f>
        <v>Alta</v>
      </c>
      <c r="I95" s="8" t="str">
        <f aca="false">INDEX(Dados!$I:$I,MATCH(86,Dados!$O:$O,0))</f>
        <v>Diminuindo</v>
      </c>
      <c r="J95" s="15" t="n">
        <f aca="false">INDEX(Dados!$F:$F,MATCH(86,Dados!$O:$O,0))</f>
        <v>218800</v>
      </c>
      <c r="K95" s="16" t="n">
        <f aca="false">INDEX(Dados!$G:$G,MATCH(86,Dados!$O:$O,0))</f>
        <v>1000</v>
      </c>
      <c r="L95" s="17" t="n">
        <f aca="false">INDEX(Dados!$J:$J,MATCH(86,Dados!$O:$O,0))</f>
        <v>0.6591</v>
      </c>
    </row>
    <row r="96" customFormat="false" ht="15" hidden="false" customHeight="false" outlineLevel="0" collapsed="false">
      <c r="A96" s="8" t="str">
        <f aca="false">IF(87&lt;=12,"Onda 1 — testar agora",IF(87&lt;=40,"Onda 2 — próximos passos","Onda 3 — depois de consolidar"))</f>
        <v>Onda 3 — depois de consolidar</v>
      </c>
      <c r="B96" s="8" t="str">
        <f aca="false">INDEX(Dados!$B:$B,MATCH(87,Dados!$O:$O,0))</f>
        <v>BELARA - LATTAFA</v>
      </c>
      <c r="C96" s="8" t="str">
        <f aca="false">INDEX(Dados!$C:$C,MATCH(87,Dados!$O:$O,0))</f>
        <v>Árabe/Import Acessível</v>
      </c>
      <c r="D96" s="8" t="str">
        <f aca="false">INDEX(Dados!$D:$D,MATCH(87,Dados!$O:$O,0))</f>
        <v>Não</v>
      </c>
      <c r="E96" s="13" t="n">
        <f aca="false">INDEX(Dados!$N:$N,MATCH(87,Dados!$O:$O,0))</f>
        <v>26.3553059532261</v>
      </c>
      <c r="F96" s="14" t="n">
        <f aca="false">INDEX(Dados!$H:$H,MATCH(87,Dados!$O:$O,0))</f>
        <v>175.055555555556</v>
      </c>
      <c r="G96" s="8" t="n">
        <f aca="false">INDEX(Dados!$K:$K,MATCH(87,Dados!$O:$O,0))</f>
        <v>39</v>
      </c>
      <c r="H96" s="8" t="str">
        <f aca="false">INDEX(Dados!$L:$L,MATCH(87,Dados!$O:$O,0))</f>
        <v>Alta</v>
      </c>
      <c r="I96" s="8" t="str">
        <f aca="false">INDEX(Dados!$I:$I,MATCH(87,Dados!$O:$O,0))</f>
        <v>Diminuindo</v>
      </c>
      <c r="J96" s="15" t="n">
        <f aca="false">INDEX(Dados!$F:$F,MATCH(87,Dados!$O:$O,0))</f>
        <v>315100</v>
      </c>
      <c r="K96" s="16" t="n">
        <f aca="false">INDEX(Dados!$G:$G,MATCH(87,Dados!$O:$O,0))</f>
        <v>1800</v>
      </c>
      <c r="L96" s="17" t="n">
        <f aca="false">INDEX(Dados!$J:$J,MATCH(87,Dados!$O:$O,0))</f>
        <v>0.7222</v>
      </c>
    </row>
    <row r="97" customFormat="false" ht="15" hidden="false" customHeight="false" outlineLevel="0" collapsed="false">
      <c r="A97" s="8" t="str">
        <f aca="false">IF(88&lt;=12,"Onda 1 — testar agora",IF(88&lt;=40,"Onda 2 — próximos passos","Onda 3 — depois de consolidar"))</f>
        <v>Onda 3 — depois de consolidar</v>
      </c>
      <c r="B97" s="8" t="str">
        <f aca="false">INDEX(Dados!$B:$B,MATCH(88,Dados!$O:$O,0))</f>
        <v>PRIMACIAL</v>
      </c>
      <c r="C97" s="8" t="str">
        <f aca="false">INDEX(Dados!$C:$C,MATCH(88,Dados!$O:$O,0))</f>
        <v>A verificar</v>
      </c>
      <c r="D97" s="8" t="str">
        <f aca="false">INDEX(Dados!$D:$D,MATCH(88,Dados!$O:$O,0))</f>
        <v>Não</v>
      </c>
      <c r="E97" s="13" t="n">
        <f aca="false">INDEX(Dados!$N:$N,MATCH(88,Dados!$O:$O,0))</f>
        <v>26.0869940479772</v>
      </c>
      <c r="F97" s="14" t="n">
        <f aca="false">INDEX(Dados!$H:$H,MATCH(88,Dados!$O:$O,0))</f>
        <v>80</v>
      </c>
      <c r="G97" s="8" t="n">
        <f aca="false">INDEX(Dados!$K:$K,MATCH(88,Dados!$O:$O,0))</f>
        <v>4</v>
      </c>
      <c r="H97" s="8" t="str">
        <f aca="false">INDEX(Dados!$L:$L,MATCH(88,Dados!$O:$O,0))</f>
        <v>Alta</v>
      </c>
      <c r="I97" s="8" t="str">
        <f aca="false">INDEX(Dados!$I:$I,MATCH(88,Dados!$O:$O,0))</f>
        <v>Diminuindo</v>
      </c>
      <c r="J97" s="15" t="n">
        <f aca="false">INDEX(Dados!$F:$F,MATCH(88,Dados!$O:$O,0))</f>
        <v>3400000</v>
      </c>
      <c r="K97" s="16" t="n">
        <f aca="false">INDEX(Dados!$G:$G,MATCH(88,Dados!$O:$O,0))</f>
        <v>42500</v>
      </c>
      <c r="L97" s="17" t="n">
        <f aca="false">INDEX(Dados!$J:$J,MATCH(88,Dados!$O:$O,0))</f>
        <v>0.7927</v>
      </c>
    </row>
    <row r="98" customFormat="false" ht="15" hidden="false" customHeight="false" outlineLevel="0" collapsed="false">
      <c r="A98" s="8" t="str">
        <f aca="false">IF(89&lt;=12,"Onda 1 — testar agora",IF(89&lt;=40,"Onda 2 — próximos passos","Onda 3 — depois de consolidar"))</f>
        <v>Onda 3 — depois de consolidar</v>
      </c>
      <c r="B98" s="8" t="str">
        <f aca="false">INDEX(Dados!$B:$B,MATCH(89,Dados!$O:$O,0))</f>
        <v>ATTRACIONE</v>
      </c>
      <c r="C98" s="8" t="str">
        <f aca="false">INDEX(Dados!$C:$C,MATCH(89,Dados!$O:$O,0))</f>
        <v>A verificar</v>
      </c>
      <c r="D98" s="8" t="str">
        <f aca="false">INDEX(Dados!$D:$D,MATCH(89,Dados!$O:$O,0))</f>
        <v>Não</v>
      </c>
      <c r="E98" s="13" t="n">
        <f aca="false">INDEX(Dados!$N:$N,MATCH(89,Dados!$O:$O,0))</f>
        <v>25.5735894996861</v>
      </c>
      <c r="F98" s="14" t="n">
        <f aca="false">INDEX(Dados!$H:$H,MATCH(89,Dados!$O:$O,0))</f>
        <v>55.2543352601156</v>
      </c>
      <c r="G98" s="8" t="n">
        <f aca="false">INDEX(Dados!$K:$K,MATCH(89,Dados!$O:$O,0))</f>
        <v>8</v>
      </c>
      <c r="H98" s="8" t="str">
        <f aca="false">INDEX(Dados!$L:$L,MATCH(89,Dados!$O:$O,0))</f>
        <v>Alta</v>
      </c>
      <c r="I98" s="8" t="str">
        <f aca="false">INDEX(Dados!$I:$I,MATCH(89,Dados!$O:$O,0))</f>
        <v>Diminuindo</v>
      </c>
      <c r="J98" s="15" t="n">
        <f aca="false">INDEX(Dados!$F:$F,MATCH(89,Dados!$O:$O,0))</f>
        <v>955900</v>
      </c>
      <c r="K98" s="16" t="n">
        <f aca="false">INDEX(Dados!$G:$G,MATCH(89,Dados!$O:$O,0))</f>
        <v>17300</v>
      </c>
      <c r="L98" s="17" t="n">
        <f aca="false">INDEX(Dados!$J:$J,MATCH(89,Dados!$O:$O,0))</f>
        <v>0.4545</v>
      </c>
    </row>
    <row r="99" customFormat="false" ht="15" hidden="false" customHeight="false" outlineLevel="0" collapsed="false">
      <c r="A99" s="8" t="str">
        <f aca="false">IF(90&lt;=12,"Onda 1 — testar agora",IF(90&lt;=40,"Onda 2 — próximos passos","Onda 3 — depois de consolidar"))</f>
        <v>Onda 3 — depois de consolidar</v>
      </c>
      <c r="B99" s="8" t="str">
        <f aca="false">INDEX(Dados!$B:$B,MATCH(90,Dados!$O:$O,0))</f>
        <v>EZ COSMÉTICOS</v>
      </c>
      <c r="C99" s="8" t="str">
        <f aca="false">INDEX(Dados!$C:$C,MATCH(90,Dados!$O:$O,0))</f>
        <v>Nacional/Massa</v>
      </c>
      <c r="D99" s="8" t="str">
        <f aca="false">INDEX(Dados!$D:$D,MATCH(90,Dados!$O:$O,0))</f>
        <v>Não</v>
      </c>
      <c r="E99" s="13" t="n">
        <f aca="false">INDEX(Dados!$N:$N,MATCH(90,Dados!$O:$O,0))</f>
        <v>25.4750737875349</v>
      </c>
      <c r="F99" s="14" t="n">
        <f aca="false">INDEX(Dados!$H:$H,MATCH(90,Dados!$O:$O,0))</f>
        <v>37.7358490566038</v>
      </c>
      <c r="G99" s="8" t="n">
        <f aca="false">INDEX(Dados!$K:$K,MATCH(90,Dados!$O:$O,0))</f>
        <v>3</v>
      </c>
      <c r="H99" s="8" t="str">
        <f aca="false">INDEX(Dados!$L:$L,MATCH(90,Dados!$O:$O,0))</f>
        <v>Alta</v>
      </c>
      <c r="I99" s="8" t="str">
        <f aca="false">INDEX(Dados!$I:$I,MATCH(90,Dados!$O:$O,0))</f>
        <v>Diminuindo</v>
      </c>
      <c r="J99" s="15" t="n">
        <f aca="false">INDEX(Dados!$F:$F,MATCH(90,Dados!$O:$O,0))</f>
        <v>1000000</v>
      </c>
      <c r="K99" s="16" t="n">
        <f aca="false">INDEX(Dados!$G:$G,MATCH(90,Dados!$O:$O,0))</f>
        <v>26500</v>
      </c>
      <c r="L99" s="17" t="n">
        <f aca="false">INDEX(Dados!$J:$J,MATCH(90,Dados!$O:$O,0))</f>
        <v>0.3871</v>
      </c>
    </row>
    <row r="100" customFormat="false" ht="15" hidden="false" customHeight="false" outlineLevel="0" collapsed="false">
      <c r="A100" s="8" t="str">
        <f aca="false">IF(91&lt;=12,"Onda 1 — testar agora",IF(91&lt;=40,"Onda 2 — próximos passos","Onda 3 — depois de consolidar"))</f>
        <v>Onda 3 — depois de consolidar</v>
      </c>
      <c r="B100" s="8" t="str">
        <f aca="false">INDEX(Dados!$B:$B,MATCH(91,Dados!$O:$O,0))</f>
        <v>BANDERAS</v>
      </c>
      <c r="C100" s="8" t="str">
        <f aca="false">INDEX(Dados!$C:$C,MATCH(91,Dados!$O:$O,0))</f>
        <v>Designer/Importado</v>
      </c>
      <c r="D100" s="8" t="str">
        <f aca="false">INDEX(Dados!$D:$D,MATCH(91,Dados!$O:$O,0))</f>
        <v>Não</v>
      </c>
      <c r="E100" s="13" t="n">
        <f aca="false">INDEX(Dados!$N:$N,MATCH(91,Dados!$O:$O,0))</f>
        <v>24.9222576259307</v>
      </c>
      <c r="F100" s="14" t="n">
        <f aca="false">INDEX(Dados!$H:$H,MATCH(91,Dados!$O:$O,0))</f>
        <v>176.470588235294</v>
      </c>
      <c r="G100" s="8" t="n">
        <f aca="false">INDEX(Dados!$K:$K,MATCH(91,Dados!$O:$O,0))</f>
        <v>82</v>
      </c>
      <c r="H100" s="8" t="str">
        <f aca="false">INDEX(Dados!$L:$L,MATCH(91,Dados!$O:$O,0))</f>
        <v>Alta</v>
      </c>
      <c r="I100" s="8" t="str">
        <f aca="false">INDEX(Dados!$I:$I,MATCH(91,Dados!$O:$O,0))</f>
        <v>Diminuindo</v>
      </c>
      <c r="J100" s="15" t="n">
        <f aca="false">INDEX(Dados!$F:$F,MATCH(91,Dados!$O:$O,0))</f>
        <v>1200000</v>
      </c>
      <c r="K100" s="16" t="n">
        <f aca="false">INDEX(Dados!$G:$G,MATCH(91,Dados!$O:$O,0))</f>
        <v>6800</v>
      </c>
      <c r="L100" s="17" t="n">
        <f aca="false">INDEX(Dados!$J:$J,MATCH(91,Dados!$O:$O,0))</f>
        <v>0.726</v>
      </c>
    </row>
    <row r="101" customFormat="false" ht="15" hidden="false" customHeight="false" outlineLevel="0" collapsed="false">
      <c r="A101" s="8" t="str">
        <f aca="false">IF(92&lt;=12,"Onda 1 — testar agora",IF(92&lt;=40,"Onda 2 — próximos passos","Onda 3 — depois de consolidar"))</f>
        <v>Onda 3 — depois de consolidar</v>
      </c>
      <c r="B101" s="8" t="str">
        <f aca="false">INDEX(Dados!$B:$B,MATCH(92,Dados!$O:$O,0))</f>
        <v>AMAKHA PARIS</v>
      </c>
      <c r="C101" s="8" t="str">
        <f aca="false">INDEX(Dados!$C:$C,MATCH(92,Dados!$O:$O,0))</f>
        <v>Nacional/Massa</v>
      </c>
      <c r="D101" s="8" t="str">
        <f aca="false">INDEX(Dados!$D:$D,MATCH(92,Dados!$O:$O,0))</f>
        <v>Não</v>
      </c>
      <c r="E101" s="13" t="n">
        <f aca="false">INDEX(Dados!$N:$N,MATCH(92,Dados!$O:$O,0))</f>
        <v>24.9019014146199</v>
      </c>
      <c r="F101" s="14" t="n">
        <f aca="false">INDEX(Dados!$H:$H,MATCH(92,Dados!$O:$O,0))</f>
        <v>44.5045045045045</v>
      </c>
      <c r="G101" s="8" t="n">
        <f aca="false">INDEX(Dados!$K:$K,MATCH(92,Dados!$O:$O,0))</f>
        <v>23</v>
      </c>
      <c r="H101" s="8" t="str">
        <f aca="false">INDEX(Dados!$L:$L,MATCH(92,Dados!$O:$O,0))</f>
        <v>Alta</v>
      </c>
      <c r="I101" s="8" t="str">
        <f aca="false">INDEX(Dados!$I:$I,MATCH(92,Dados!$O:$O,0))</f>
        <v>Diminuindo</v>
      </c>
      <c r="J101" s="15" t="n">
        <f aca="false">INDEX(Dados!$F:$F,MATCH(92,Dados!$O:$O,0))</f>
        <v>494000</v>
      </c>
      <c r="K101" s="16" t="n">
        <f aca="false">INDEX(Dados!$G:$G,MATCH(92,Dados!$O:$O,0))</f>
        <v>11100</v>
      </c>
      <c r="L101" s="17" t="n">
        <f aca="false">INDEX(Dados!$J:$J,MATCH(92,Dados!$O:$O,0))</f>
        <v>0.5706</v>
      </c>
    </row>
    <row r="102" customFormat="false" ht="15" hidden="false" customHeight="false" outlineLevel="0" collapsed="false">
      <c r="A102" s="8" t="str">
        <f aca="false">IF(93&lt;=12,"Onda 1 — testar agora",IF(93&lt;=40,"Onda 2 — próximos passos","Onda 3 — depois de consolidar"))</f>
        <v>Onda 3 — depois de consolidar</v>
      </c>
      <c r="B102" s="8" t="str">
        <f aca="false">INDEX(Dados!$B:$B,MATCH(93,Dados!$O:$O,0))</f>
        <v>BRITNEY SPEARS</v>
      </c>
      <c r="C102" s="8" t="str">
        <f aca="false">INDEX(Dados!$C:$C,MATCH(93,Dados!$O:$O,0))</f>
        <v>Designer/Importado</v>
      </c>
      <c r="D102" s="8" t="str">
        <f aca="false">INDEX(Dados!$D:$D,MATCH(93,Dados!$O:$O,0))</f>
        <v>Não</v>
      </c>
      <c r="E102" s="13" t="n">
        <f aca="false">INDEX(Dados!$N:$N,MATCH(93,Dados!$O:$O,0))</f>
        <v>24.8430572678454</v>
      </c>
      <c r="F102" s="14" t="n">
        <f aca="false">INDEX(Dados!$H:$H,MATCH(93,Dados!$O:$O,0))</f>
        <v>189</v>
      </c>
      <c r="G102" s="8" t="n">
        <f aca="false">INDEX(Dados!$K:$K,MATCH(93,Dados!$O:$O,0))</f>
        <v>90</v>
      </c>
      <c r="H102" s="8" t="str">
        <f aca="false">INDEX(Dados!$L:$L,MATCH(93,Dados!$O:$O,0))</f>
        <v>Alta</v>
      </c>
      <c r="I102" s="8" t="str">
        <f aca="false">INDEX(Dados!$I:$I,MATCH(93,Dados!$O:$O,0))</f>
        <v>Diminuindo</v>
      </c>
      <c r="J102" s="15" t="n">
        <f aca="false">INDEX(Dados!$F:$F,MATCH(93,Dados!$O:$O,0))</f>
        <v>302400</v>
      </c>
      <c r="K102" s="16" t="n">
        <f aca="false">INDEX(Dados!$G:$G,MATCH(93,Dados!$O:$O,0))</f>
        <v>1600</v>
      </c>
      <c r="L102" s="17" t="n">
        <f aca="false">INDEX(Dados!$J:$J,MATCH(93,Dados!$O:$O,0))</f>
        <v>0.719</v>
      </c>
    </row>
    <row r="103" customFormat="false" ht="15" hidden="false" customHeight="false" outlineLevel="0" collapsed="false">
      <c r="A103" s="8" t="str">
        <f aca="false">IF(94&lt;=12,"Onda 1 — testar agora",IF(94&lt;=40,"Onda 2 — próximos passos","Onda 3 — depois de consolidar"))</f>
        <v>Onda 3 — depois de consolidar</v>
      </c>
      <c r="B103" s="8" t="str">
        <f aca="false">INDEX(Dados!$B:$B,MATCH(94,Dados!$O:$O,0))</f>
        <v>MAWWAL</v>
      </c>
      <c r="C103" s="8" t="str">
        <f aca="false">INDEX(Dados!$C:$C,MATCH(94,Dados!$O:$O,0))</f>
        <v>Árabe/Import Acessível</v>
      </c>
      <c r="D103" s="8" t="str">
        <f aca="false">INDEX(Dados!$D:$D,MATCH(94,Dados!$O:$O,0))</f>
        <v>Não</v>
      </c>
      <c r="E103" s="13" t="n">
        <f aca="false">INDEX(Dados!$N:$N,MATCH(94,Dados!$O:$O,0))</f>
        <v>24.751579084039</v>
      </c>
      <c r="F103" s="14" t="n">
        <f aca="false">INDEX(Dados!$H:$H,MATCH(94,Dados!$O:$O,0))</f>
        <v>189.655172413793</v>
      </c>
      <c r="G103" s="8" t="n">
        <f aca="false">INDEX(Dados!$K:$K,MATCH(94,Dados!$O:$O,0))</f>
        <v>93</v>
      </c>
      <c r="H103" s="8" t="str">
        <f aca="false">INDEX(Dados!$L:$L,MATCH(94,Dados!$O:$O,0))</f>
        <v>Alta</v>
      </c>
      <c r="I103" s="8" t="str">
        <f aca="false">INDEX(Dados!$I:$I,MATCH(94,Dados!$O:$O,0))</f>
        <v>Diminuindo</v>
      </c>
      <c r="J103" s="15" t="n">
        <f aca="false">INDEX(Dados!$F:$F,MATCH(94,Dados!$O:$O,0))</f>
        <v>1100000</v>
      </c>
      <c r="K103" s="16" t="n">
        <f aca="false">INDEX(Dados!$G:$G,MATCH(94,Dados!$O:$O,0))</f>
        <v>5800</v>
      </c>
      <c r="L103" s="17" t="n">
        <f aca="false">INDEX(Dados!$J:$J,MATCH(94,Dados!$O:$O,0))</f>
        <v>0.6617</v>
      </c>
    </row>
    <row r="104" customFormat="false" ht="15" hidden="false" customHeight="false" outlineLevel="0" collapsed="false">
      <c r="A104" s="8" t="str">
        <f aca="false">IF(95&lt;=12,"Onda 1 — testar agora",IF(95&lt;=40,"Onda 2 — próximos passos","Onda 3 — depois de consolidar"))</f>
        <v>Onda 3 — depois de consolidar</v>
      </c>
      <c r="B104" s="8" t="str">
        <f aca="false">INDEX(Dados!$B:$B,MATCH(95,Dados!$O:$O,0))</f>
        <v>BARBOUR'S</v>
      </c>
      <c r="C104" s="8" t="str">
        <f aca="false">INDEX(Dados!$C:$C,MATCH(95,Dados!$O:$O,0))</f>
        <v>A verificar</v>
      </c>
      <c r="D104" s="8" t="str">
        <f aca="false">INDEX(Dados!$D:$D,MATCH(95,Dados!$O:$O,0))</f>
        <v>Não</v>
      </c>
      <c r="E104" s="13" t="n">
        <f aca="false">INDEX(Dados!$N:$N,MATCH(95,Dados!$O:$O,0))</f>
        <v>24.6449432876089</v>
      </c>
      <c r="F104" s="14" t="n">
        <f aca="false">INDEX(Dados!$H:$H,MATCH(95,Dados!$O:$O,0))</f>
        <v>89.6823529411765</v>
      </c>
      <c r="G104" s="8" t="n">
        <f aca="false">INDEX(Dados!$K:$K,MATCH(95,Dados!$O:$O,0))</f>
        <v>51</v>
      </c>
      <c r="H104" s="8" t="str">
        <f aca="false">INDEX(Dados!$L:$L,MATCH(95,Dados!$O:$O,0))</f>
        <v>Alta</v>
      </c>
      <c r="I104" s="8" t="str">
        <f aca="false">INDEX(Dados!$I:$I,MATCH(95,Dados!$O:$O,0))</f>
        <v>Diminuindo</v>
      </c>
      <c r="J104" s="15" t="n">
        <f aca="false">INDEX(Dados!$F:$F,MATCH(95,Dados!$O:$O,0))</f>
        <v>762300</v>
      </c>
      <c r="K104" s="16" t="n">
        <f aca="false">INDEX(Dados!$G:$G,MATCH(95,Dados!$O:$O,0))</f>
        <v>8500</v>
      </c>
      <c r="L104" s="17" t="n">
        <f aca="false">INDEX(Dados!$J:$J,MATCH(95,Dados!$O:$O,0))</f>
        <v>0.5203</v>
      </c>
    </row>
    <row r="105" customFormat="false" ht="15" hidden="false" customHeight="false" outlineLevel="0" collapsed="false">
      <c r="A105" s="8" t="str">
        <f aca="false">IF(96&lt;=12,"Onda 1 — testar agora",IF(96&lt;=40,"Onda 2 — próximos passos","Onda 3 — depois de consolidar"))</f>
        <v>Onda 3 — depois de consolidar</v>
      </c>
      <c r="B105" s="8" t="str">
        <f aca="false">INDEX(Dados!$B:$B,MATCH(96,Dados!$O:$O,0))</f>
        <v>LATTAFA</v>
      </c>
      <c r="C105" s="8" t="str">
        <f aca="false">INDEX(Dados!$C:$C,MATCH(96,Dados!$O:$O,0))</f>
        <v>Árabe/Import Acessível</v>
      </c>
      <c r="D105" s="8" t="str">
        <f aca="false">INDEX(Dados!$D:$D,MATCH(96,Dados!$O:$O,0))</f>
        <v>Não</v>
      </c>
      <c r="E105" s="13" t="n">
        <f aca="false">INDEX(Dados!$N:$N,MATCH(96,Dados!$O:$O,0))</f>
        <v>22.9323142500184</v>
      </c>
      <c r="F105" s="14" t="n">
        <f aca="false">INDEX(Dados!$H:$H,MATCH(96,Dados!$O:$O,0))</f>
        <v>191.919191919192</v>
      </c>
      <c r="G105" s="8" t="n">
        <f aca="false">INDEX(Dados!$K:$K,MATCH(96,Dados!$O:$O,0))</f>
        <v>739</v>
      </c>
      <c r="H105" s="8" t="str">
        <f aca="false">INDEX(Dados!$L:$L,MATCH(96,Dados!$O:$O,0))</f>
        <v>Média</v>
      </c>
      <c r="I105" s="8" t="str">
        <f aca="false">INDEX(Dados!$I:$I,MATCH(96,Dados!$O:$O,0))</f>
        <v>Estável</v>
      </c>
      <c r="J105" s="15" t="n">
        <f aca="false">INDEX(Dados!$F:$F,MATCH(96,Dados!$O:$O,0))</f>
        <v>19000000</v>
      </c>
      <c r="K105" s="16" t="n">
        <f aca="false">INDEX(Dados!$G:$G,MATCH(96,Dados!$O:$O,0))</f>
        <v>99000</v>
      </c>
      <c r="L105" s="17" t="n">
        <f aca="false">INDEX(Dados!$J:$J,MATCH(96,Dados!$O:$O,0))</f>
        <v>0.6514</v>
      </c>
    </row>
    <row r="106" customFormat="false" ht="15" hidden="false" customHeight="false" outlineLevel="0" collapsed="false">
      <c r="A106" s="8" t="str">
        <f aca="false">IF(97&lt;=12,"Onda 1 — testar agora",IF(97&lt;=40,"Onda 2 — próximos passos","Onda 3 — depois de consolidar"))</f>
        <v>Onda 3 — depois de consolidar</v>
      </c>
      <c r="B106" s="8" t="str">
        <f aca="false">INDEX(Dados!$B:$B,MATCH(97,Dados!$O:$O,0))</f>
        <v>BARBOUR’S BEAUTY</v>
      </c>
      <c r="C106" s="8" t="str">
        <f aca="false">INDEX(Dados!$C:$C,MATCH(97,Dados!$O:$O,0))</f>
        <v>A verificar</v>
      </c>
      <c r="D106" s="8" t="str">
        <f aca="false">INDEX(Dados!$D:$D,MATCH(97,Dados!$O:$O,0))</f>
        <v>Não</v>
      </c>
      <c r="E106" s="13" t="n">
        <f aca="false">INDEX(Dados!$N:$N,MATCH(97,Dados!$O:$O,0))</f>
        <v>22.0716124282525</v>
      </c>
      <c r="F106" s="14" t="n">
        <f aca="false">INDEX(Dados!$H:$H,MATCH(97,Dados!$O:$O,0))</f>
        <v>62.962962962963</v>
      </c>
      <c r="G106" s="8" t="n">
        <f aca="false">INDEX(Dados!$K:$K,MATCH(97,Dados!$O:$O,0))</f>
        <v>115</v>
      </c>
      <c r="H106" s="8" t="str">
        <f aca="false">INDEX(Dados!$L:$L,MATCH(97,Dados!$O:$O,0))</f>
        <v>Alta</v>
      </c>
      <c r="I106" s="8" t="str">
        <f aca="false">INDEX(Dados!$I:$I,MATCH(97,Dados!$O:$O,0))</f>
        <v>Diminuindo</v>
      </c>
      <c r="J106" s="15" t="n">
        <f aca="false">INDEX(Dados!$F:$F,MATCH(97,Dados!$O:$O,0))</f>
        <v>1700000</v>
      </c>
      <c r="K106" s="16" t="n">
        <f aca="false">INDEX(Dados!$G:$G,MATCH(97,Dados!$O:$O,0))</f>
        <v>27000</v>
      </c>
      <c r="L106" s="17" t="n">
        <f aca="false">INDEX(Dados!$J:$J,MATCH(97,Dados!$O:$O,0))</f>
        <v>0.5338</v>
      </c>
    </row>
    <row r="107" customFormat="false" ht="15" hidden="false" customHeight="false" outlineLevel="0" collapsed="false">
      <c r="A107" s="8" t="str">
        <f aca="false">IF(98&lt;=12,"Onda 1 — testar agora",IF(98&lt;=40,"Onda 2 — próximos passos","Onda 3 — depois de consolidar"))</f>
        <v>Onda 3 — depois de consolidar</v>
      </c>
      <c r="B107" s="8" t="str">
        <f aca="false">INDEX(Dados!$B:$B,MATCH(98,Dados!$O:$O,0))</f>
        <v>NATURA</v>
      </c>
      <c r="C107" s="8" t="str">
        <f aca="false">INDEX(Dados!$C:$C,MATCH(98,Dados!$O:$O,0))</f>
        <v>Nacional/Massa</v>
      </c>
      <c r="D107" s="8" t="str">
        <f aca="false">INDEX(Dados!$D:$D,MATCH(98,Dados!$O:$O,0))</f>
        <v>Não</v>
      </c>
      <c r="E107" s="13" t="n">
        <f aca="false">INDEX(Dados!$N:$N,MATCH(98,Dados!$O:$O,0))</f>
        <v>18.4036507985952</v>
      </c>
      <c r="F107" s="14" t="n">
        <f aca="false">INDEX(Dados!$H:$H,MATCH(98,Dados!$O:$O,0))</f>
        <v>129.331683168317</v>
      </c>
      <c r="G107" s="8" t="n">
        <f aca="false">INDEX(Dados!$K:$K,MATCH(98,Dados!$O:$O,0))</f>
        <v>549</v>
      </c>
      <c r="H107" s="8" t="str">
        <f aca="false">INDEX(Dados!$L:$L,MATCH(98,Dados!$O:$O,0))</f>
        <v>Alta</v>
      </c>
      <c r="I107" s="8" t="str">
        <f aca="false">INDEX(Dados!$I:$I,MATCH(98,Dados!$O:$O,0))</f>
        <v>Estável</v>
      </c>
      <c r="J107" s="15" t="n">
        <f aca="false">INDEX(Dados!$F:$F,MATCH(98,Dados!$O:$O,0))</f>
        <v>20900000</v>
      </c>
      <c r="K107" s="16" t="n">
        <f aca="false">INDEX(Dados!$G:$G,MATCH(98,Dados!$O:$O,0))</f>
        <v>161600</v>
      </c>
      <c r="L107" s="17" t="n">
        <f aca="false">INDEX(Dados!$J:$J,MATCH(98,Dados!$O:$O,0))</f>
        <v>0.613</v>
      </c>
    </row>
    <row r="108" customFormat="false" ht="15" hidden="false" customHeight="false" outlineLevel="0" collapsed="false">
      <c r="A108" s="8" t="str">
        <f aca="false">IF(99&lt;=12,"Onda 1 — testar agora",IF(99&lt;=40,"Onda 2 — próximos passos","Onda 3 — depois de consolidar"))</f>
        <v>Onda 3 — depois de consolidar</v>
      </c>
      <c r="B108" s="8" t="str">
        <f aca="false">INDEX(Dados!$B:$B,MATCH(99,Dados!$O:$O,0))</f>
        <v>AVON</v>
      </c>
      <c r="C108" s="8" t="str">
        <f aca="false">INDEX(Dados!$C:$C,MATCH(99,Dados!$O:$O,0))</f>
        <v>Nacional/Massa</v>
      </c>
      <c r="D108" s="8" t="str">
        <f aca="false">INDEX(Dados!$D:$D,MATCH(99,Dados!$O:$O,0))</f>
        <v>Não</v>
      </c>
      <c r="E108" s="13" t="n">
        <f aca="false">INDEX(Dados!$N:$N,MATCH(99,Dados!$O:$O,0))</f>
        <v>17.7550211350783</v>
      </c>
      <c r="F108" s="14" t="n">
        <f aca="false">INDEX(Dados!$H:$H,MATCH(99,Dados!$O:$O,0))</f>
        <v>57.2096774193548</v>
      </c>
      <c r="G108" s="8" t="n">
        <f aca="false">INDEX(Dados!$K:$K,MATCH(99,Dados!$O:$O,0))</f>
        <v>240</v>
      </c>
      <c r="H108" s="8" t="str">
        <f aca="false">INDEX(Dados!$L:$L,MATCH(99,Dados!$O:$O,0))</f>
        <v>Alta</v>
      </c>
      <c r="I108" s="8" t="str">
        <f aca="false">INDEX(Dados!$I:$I,MATCH(99,Dados!$O:$O,0))</f>
        <v>Diminuindo</v>
      </c>
      <c r="J108" s="15" t="n">
        <f aca="false">INDEX(Dados!$F:$F,MATCH(99,Dados!$O:$O,0))</f>
        <v>709400</v>
      </c>
      <c r="K108" s="16" t="n">
        <f aca="false">INDEX(Dados!$G:$G,MATCH(99,Dados!$O:$O,0))</f>
        <v>12400</v>
      </c>
      <c r="L108" s="17" t="n">
        <f aca="false">INDEX(Dados!$J:$J,MATCH(99,Dados!$O:$O,0))</f>
        <v>0.6079</v>
      </c>
    </row>
    <row r="109" customFormat="false" ht="15" hidden="false" customHeight="false" outlineLevel="0" collapsed="false">
      <c r="A109" s="8" t="str">
        <f aca="false">IF(100&lt;=12,"Onda 1 — testar agora",IF(100&lt;=40,"Onda 2 — próximos passos","Onda 3 — depois de consolidar"))</f>
        <v>Onda 3 — depois de consolidar</v>
      </c>
      <c r="B109" s="8" t="str">
        <f aca="false">INDEX(Dados!$B:$B,MATCH(100,Dados!$O:$O,0))</f>
        <v>AL WATANIAH</v>
      </c>
      <c r="C109" s="8" t="str">
        <f aca="false">INDEX(Dados!$C:$C,MATCH(100,Dados!$O:$O,0))</f>
        <v>Árabe/Import Acessível</v>
      </c>
      <c r="D109" s="8" t="str">
        <f aca="false">INDEX(Dados!$D:$D,MATCH(100,Dados!$O:$O,0))</f>
        <v>Não</v>
      </c>
      <c r="E109" s="13" t="n">
        <f aca="false">INDEX(Dados!$N:$N,MATCH(100,Dados!$O:$O,0))</f>
        <v>12.4781688224033</v>
      </c>
      <c r="F109" s="14" t="n">
        <f aca="false">INDEX(Dados!$H:$H,MATCH(100,Dados!$O:$O,0))</f>
        <v>134.74025974026</v>
      </c>
      <c r="G109" s="8" t="n">
        <f aca="false">INDEX(Dados!$K:$K,MATCH(100,Dados!$O:$O,0))</f>
        <v>431</v>
      </c>
      <c r="H109" s="8" t="str">
        <f aca="false">INDEX(Dados!$L:$L,MATCH(100,Dados!$O:$O,0))</f>
        <v>Alta</v>
      </c>
      <c r="I109" s="8" t="str">
        <f aca="false">INDEX(Dados!$I:$I,MATCH(100,Dados!$O:$O,0))</f>
        <v>Diminuindo</v>
      </c>
      <c r="J109" s="15" t="n">
        <f aca="false">INDEX(Dados!$F:$F,MATCH(100,Dados!$O:$O,0))</f>
        <v>8300000</v>
      </c>
      <c r="K109" s="16" t="n">
        <f aca="false">INDEX(Dados!$G:$G,MATCH(100,Dados!$O:$O,0))</f>
        <v>61600</v>
      </c>
      <c r="L109" s="17" t="n">
        <f aca="false">INDEX(Dados!$J:$J,MATCH(100,Dados!$O:$O,0))</f>
        <v>0.6549</v>
      </c>
    </row>
  </sheetData>
  <mergeCells count="1">
    <mergeCell ref="A1:D1"/>
  </mergeCells>
  <conditionalFormatting sqref="B7">
    <cfRule type="expression" priority="2" aboveAverage="0" equalAverage="0" bottom="0" percent="0" rank="0" text="" dxfId="4">
      <formula>B7&lt;&gt;100%</formula>
    </cfRule>
  </conditionalFormatting>
  <conditionalFormatting sqref="A10:L109">
    <cfRule type="expression" priority="3" aboveAverage="0" equalAverage="0" bottom="0" percent="0" rank="0" text="" dxfId="5">
      <formula>$A10="Onda 1 — testar agora"</formula>
    </cfRule>
    <cfRule type="expression" priority="4" aboveAverage="0" equalAverage="0" bottom="0" percent="0" rank="0" text="" dxfId="6">
      <formula>$D10="Sim"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5" min="14" style="0" width="14"/>
  </cols>
  <sheetData>
    <row r="1" customFormat="false" ht="57.45" hidden="false" customHeight="false" outlineLevel="0" collapsed="false">
      <c r="A1" s="12" t="s">
        <v>42</v>
      </c>
      <c r="B1" s="12" t="s">
        <v>31</v>
      </c>
      <c r="C1" s="12" t="s">
        <v>43</v>
      </c>
      <c r="D1" s="12" t="s">
        <v>44</v>
      </c>
      <c r="E1" s="12" t="s">
        <v>45</v>
      </c>
      <c r="F1" s="12" t="s">
        <v>39</v>
      </c>
      <c r="G1" s="12" t="s">
        <v>40</v>
      </c>
      <c r="H1" s="12" t="s">
        <v>35</v>
      </c>
      <c r="I1" s="12" t="s">
        <v>38</v>
      </c>
      <c r="J1" s="12" t="s">
        <v>41</v>
      </c>
      <c r="K1" s="12" t="s">
        <v>36</v>
      </c>
      <c r="L1" s="12" t="s">
        <v>37</v>
      </c>
      <c r="M1" s="12" t="s">
        <v>46</v>
      </c>
      <c r="N1" s="18" t="s">
        <v>34</v>
      </c>
      <c r="O1" s="18" t="s">
        <v>47</v>
      </c>
    </row>
    <row r="2" customFormat="false" ht="15" hidden="false" customHeight="false" outlineLevel="0" collapsed="false">
      <c r="A2" s="8" t="n">
        <v>1</v>
      </c>
      <c r="B2" s="8" t="s">
        <v>48</v>
      </c>
      <c r="C2" s="8" t="s">
        <v>49</v>
      </c>
      <c r="D2" s="8" t="s">
        <v>50</v>
      </c>
      <c r="E2" s="8" t="n">
        <v>1</v>
      </c>
      <c r="F2" s="15" t="n">
        <v>20900000</v>
      </c>
      <c r="G2" s="16" t="n">
        <v>161600</v>
      </c>
      <c r="H2" s="14" t="n">
        <v>129.331683168317</v>
      </c>
      <c r="I2" s="8" t="s">
        <v>51</v>
      </c>
      <c r="J2" s="17" t="n">
        <v>0.613</v>
      </c>
      <c r="K2" s="8" t="n">
        <v>549</v>
      </c>
      <c r="L2" s="8" t="s">
        <v>52</v>
      </c>
      <c r="M2" s="8" t="n">
        <v>23</v>
      </c>
      <c r="N2" s="13" t="n">
        <f aca="false">100*('Priorização de Entrada'!$B$3*(H2/MAX(H$2:H$101))+'Priorização de Entrada'!$B$4*(1-K2/MAX(K$2:K$101))+'Priorização de Entrada'!$B$5*(IF(L2="Baixa",1,IF(L2="Média",0.5,0)))+'Priorização de Entrada'!$B$6*(IF(I2="Crescendo",1,IF(I2="Estável",0.5,0))))</f>
        <v>18.4036507985952</v>
      </c>
      <c r="O2" s="8" t="n">
        <f aca="false">SUMPRODUCT(($N$2:$N$101&gt;N2)*1)+SUMPRODUCT(($N$2:N2=N2)*1)</f>
        <v>98</v>
      </c>
    </row>
    <row r="3" customFormat="false" ht="15" hidden="false" customHeight="false" outlineLevel="0" collapsed="false">
      <c r="A3" s="8" t="n">
        <v>2</v>
      </c>
      <c r="B3" s="8" t="s">
        <v>53</v>
      </c>
      <c r="C3" s="8" t="s">
        <v>54</v>
      </c>
      <c r="D3" s="8" t="s">
        <v>50</v>
      </c>
      <c r="E3" s="8" t="n">
        <v>1</v>
      </c>
      <c r="F3" s="15" t="n">
        <v>19000000</v>
      </c>
      <c r="G3" s="16" t="n">
        <v>99000</v>
      </c>
      <c r="H3" s="14" t="n">
        <v>191.919191919192</v>
      </c>
      <c r="I3" s="8" t="s">
        <v>51</v>
      </c>
      <c r="J3" s="17" t="n">
        <v>0.6514</v>
      </c>
      <c r="K3" s="8" t="n">
        <v>739</v>
      </c>
      <c r="L3" s="8" t="s">
        <v>55</v>
      </c>
      <c r="M3" s="8" t="n">
        <v>0</v>
      </c>
      <c r="N3" s="13" t="n">
        <f aca="false">100*('Priorização de Entrada'!$B$3*(H3/MAX(H$2:H$101))+'Priorização de Entrada'!$B$4*(1-K3/MAX(K$2:K$101))+'Priorização de Entrada'!$B$5*(IF(L3="Baixa",1,IF(L3="Média",0.5,0)))+'Priorização de Entrada'!$B$6*(IF(I3="Crescendo",1,IF(I3="Estável",0.5,0))))</f>
        <v>22.9323142500184</v>
      </c>
      <c r="O3" s="8" t="n">
        <f aca="false">SUMPRODUCT(($N$2:$N$101&gt;N3)*1)+SUMPRODUCT(($N$2:N3=N3)*1)</f>
        <v>96</v>
      </c>
    </row>
    <row r="4" customFormat="false" ht="15" hidden="false" customHeight="false" outlineLevel="0" collapsed="false">
      <c r="A4" s="8" t="n">
        <v>3</v>
      </c>
      <c r="B4" s="8" t="s">
        <v>56</v>
      </c>
      <c r="C4" s="8" t="s">
        <v>49</v>
      </c>
      <c r="D4" s="8" t="s">
        <v>50</v>
      </c>
      <c r="E4" s="8" t="n">
        <v>-2</v>
      </c>
      <c r="F4" s="15" t="n">
        <v>19000000</v>
      </c>
      <c r="G4" s="16" t="n">
        <v>115100</v>
      </c>
      <c r="H4" s="14" t="n">
        <v>165.073848827107</v>
      </c>
      <c r="I4" s="8" t="s">
        <v>51</v>
      </c>
      <c r="J4" s="17" t="n">
        <v>0.632</v>
      </c>
      <c r="K4" s="8" t="n">
        <v>526</v>
      </c>
      <c r="L4" s="8" t="s">
        <v>55</v>
      </c>
      <c r="M4" s="8" t="n">
        <v>17</v>
      </c>
      <c r="N4" s="13" t="n">
        <f aca="false">100*('Priorização de Entrada'!$B$3*(H4/MAX(H$2:H$101))+'Priorização de Entrada'!$B$4*(1-K4/MAX(K$2:K$101))+'Priorização de Entrada'!$B$5*(IF(L4="Baixa",1,IF(L4="Média",0.5,0)))+'Priorização de Entrada'!$B$6*(IF(I4="Crescendo",1,IF(I4="Estável",0.5,0))))</f>
        <v>29.7278302781437</v>
      </c>
      <c r="O4" s="8" t="n">
        <f aca="false">SUMPRODUCT(($N$2:$N$101&gt;N4)*1)+SUMPRODUCT(($N$2:N4=N4)*1)</f>
        <v>78</v>
      </c>
    </row>
    <row r="5" customFormat="false" ht="15" hidden="false" customHeight="false" outlineLevel="0" collapsed="false">
      <c r="A5" s="8" t="n">
        <v>4</v>
      </c>
      <c r="B5" s="8" t="s">
        <v>57</v>
      </c>
      <c r="C5" s="8" t="s">
        <v>58</v>
      </c>
      <c r="D5" s="8" t="s">
        <v>50</v>
      </c>
      <c r="E5" s="8" t="n">
        <v>0</v>
      </c>
      <c r="F5" s="15" t="n">
        <v>10200000</v>
      </c>
      <c r="G5" s="16" t="n">
        <v>19500</v>
      </c>
      <c r="H5" s="14" t="n">
        <v>523.076923076923</v>
      </c>
      <c r="I5" s="8" t="s">
        <v>51</v>
      </c>
      <c r="J5" s="17" t="n">
        <v>0.6718</v>
      </c>
      <c r="K5" s="8" t="n">
        <v>29</v>
      </c>
      <c r="L5" s="8" t="s">
        <v>52</v>
      </c>
      <c r="M5" s="8" t="n">
        <v>0</v>
      </c>
      <c r="N5" s="13" t="n">
        <f aca="false">100*('Priorização de Entrada'!$B$3*(H5/MAX(H$2:H$101))+'Priorização de Entrada'!$B$4*(1-K5/MAX(K$2:K$101))+'Priorização de Entrada'!$B$5*(IF(L5="Baixa",1,IF(L5="Média",0.5,0)))+'Priorização de Entrada'!$B$6*(IF(I5="Crescendo",1,IF(I5="Estável",0.5,0))))</f>
        <v>42.0109848156226</v>
      </c>
      <c r="O5" s="8" t="n">
        <f aca="false">SUMPRODUCT(($N$2:$N$101&gt;N5)*1)+SUMPRODUCT(($N$2:N5=N5)*1)</f>
        <v>56</v>
      </c>
    </row>
    <row r="6" customFormat="false" ht="15" hidden="false" customHeight="false" outlineLevel="0" collapsed="false">
      <c r="A6" s="8" t="n">
        <v>5</v>
      </c>
      <c r="B6" s="8" t="s">
        <v>59</v>
      </c>
      <c r="C6" s="8" t="s">
        <v>54</v>
      </c>
      <c r="D6" s="8" t="s">
        <v>50</v>
      </c>
      <c r="E6" s="8" t="n">
        <v>2</v>
      </c>
      <c r="F6" s="15" t="n">
        <v>8500000</v>
      </c>
      <c r="G6" s="16" t="n">
        <v>34800</v>
      </c>
      <c r="H6" s="14" t="n">
        <v>244.252873563218</v>
      </c>
      <c r="I6" s="8" t="s">
        <v>60</v>
      </c>
      <c r="J6" s="17" t="n">
        <v>0.6872</v>
      </c>
      <c r="K6" s="8" t="n">
        <v>264</v>
      </c>
      <c r="L6" s="8" t="s">
        <v>52</v>
      </c>
      <c r="M6" s="8" t="n">
        <v>0</v>
      </c>
      <c r="N6" s="13" t="n">
        <f aca="false">100*('Priorização de Entrada'!$B$3*(H6/MAX(H$2:H$101))+'Priorização de Entrada'!$B$4*(1-K6/MAX(K$2:K$101))+'Priorização de Entrada'!$B$5*(IF(L6="Baixa",1,IF(L6="Média",0.5,0)))+'Priorização de Entrada'!$B$6*(IF(I6="Crescendo",1,IF(I6="Estável",0.5,0))))</f>
        <v>39.8009275467239</v>
      </c>
      <c r="O6" s="8" t="n">
        <f aca="false">SUMPRODUCT(($N$2:$N$101&gt;N6)*1)+SUMPRODUCT(($N$2:N6=N6)*1)</f>
        <v>60</v>
      </c>
    </row>
    <row r="7" customFormat="false" ht="15" hidden="false" customHeight="false" outlineLevel="0" collapsed="false">
      <c r="A7" s="8" t="n">
        <v>6</v>
      </c>
      <c r="B7" s="8" t="s">
        <v>61</v>
      </c>
      <c r="C7" s="8" t="s">
        <v>54</v>
      </c>
      <c r="D7" s="8" t="s">
        <v>50</v>
      </c>
      <c r="E7" s="8" t="n">
        <v>-1</v>
      </c>
      <c r="F7" s="15" t="n">
        <v>8300000</v>
      </c>
      <c r="G7" s="16" t="n">
        <v>61600</v>
      </c>
      <c r="H7" s="14" t="n">
        <v>134.74025974026</v>
      </c>
      <c r="I7" s="8" t="s">
        <v>62</v>
      </c>
      <c r="J7" s="17" t="n">
        <v>0.6549</v>
      </c>
      <c r="K7" s="8" t="n">
        <v>431</v>
      </c>
      <c r="L7" s="8" t="s">
        <v>52</v>
      </c>
      <c r="M7" s="8" t="n">
        <v>0</v>
      </c>
      <c r="N7" s="13" t="n">
        <f aca="false">100*('Priorização de Entrada'!$B$3*(H7/MAX(H$2:H$101))+'Priorização de Entrada'!$B$4*(1-K7/MAX(K$2:K$101))+'Priorização de Entrada'!$B$5*(IF(L7="Baixa",1,IF(L7="Média",0.5,0)))+'Priorização de Entrada'!$B$6*(IF(I7="Crescendo",1,IF(I7="Estável",0.5,0))))</f>
        <v>12.4781688224033</v>
      </c>
      <c r="O7" s="8" t="n">
        <f aca="false">SUMPRODUCT(($N$2:$N$101&gt;N7)*1)+SUMPRODUCT(($N$2:N7=N7)*1)</f>
        <v>100</v>
      </c>
    </row>
    <row r="8" customFormat="false" ht="15" hidden="false" customHeight="false" outlineLevel="0" collapsed="false">
      <c r="A8" s="8" t="n">
        <v>7</v>
      </c>
      <c r="B8" s="8" t="s">
        <v>63</v>
      </c>
      <c r="C8" s="8" t="s">
        <v>58</v>
      </c>
      <c r="D8" s="8" t="s">
        <v>50</v>
      </c>
      <c r="E8" s="8" t="n">
        <v>-1</v>
      </c>
      <c r="F8" s="15" t="n">
        <v>8100000</v>
      </c>
      <c r="G8" s="16" t="n">
        <v>14100</v>
      </c>
      <c r="H8" s="14" t="n">
        <v>574.468085106383</v>
      </c>
      <c r="I8" s="8" t="s">
        <v>51</v>
      </c>
      <c r="J8" s="17" t="n">
        <v>0.6857</v>
      </c>
      <c r="K8" s="8" t="n">
        <v>32</v>
      </c>
      <c r="L8" s="8" t="s">
        <v>55</v>
      </c>
      <c r="M8" s="8" t="n">
        <v>0</v>
      </c>
      <c r="N8" s="13" t="n">
        <f aca="false">100*('Priorização de Entrada'!$B$3*(H8/MAX(H$2:H$101))+'Priorização de Entrada'!$B$4*(1-K8/MAX(K$2:K$101))+'Priorização de Entrada'!$B$5*(IF(L8="Baixa",1,IF(L8="Média",0.5,0)))+'Priorização de Entrada'!$B$6*(IF(I8="Crescendo",1,IF(I8="Estável",0.5,0))))</f>
        <v>52.6946967722658</v>
      </c>
      <c r="O8" s="8" t="n">
        <f aca="false">SUMPRODUCT(($N$2:$N$101&gt;N8)*1)+SUMPRODUCT(($N$2:N8=N8)*1)</f>
        <v>31</v>
      </c>
    </row>
    <row r="9" customFormat="false" ht="15" hidden="false" customHeight="false" outlineLevel="0" collapsed="false">
      <c r="A9" s="8" t="n">
        <v>8</v>
      </c>
      <c r="B9" s="8" t="s">
        <v>64</v>
      </c>
      <c r="C9" s="8" t="s">
        <v>58</v>
      </c>
      <c r="D9" s="8" t="s">
        <v>50</v>
      </c>
      <c r="E9" s="8" t="n">
        <v>4</v>
      </c>
      <c r="F9" s="15" t="n">
        <v>4600000</v>
      </c>
      <c r="G9" s="16" t="n">
        <v>7200</v>
      </c>
      <c r="H9" s="14" t="n">
        <v>638.888888888889</v>
      </c>
      <c r="I9" s="8" t="s">
        <v>60</v>
      </c>
      <c r="J9" s="17" t="n">
        <v>0.7093</v>
      </c>
      <c r="K9" s="8" t="n">
        <v>27</v>
      </c>
      <c r="L9" s="8" t="s">
        <v>52</v>
      </c>
      <c r="M9" s="8" t="n">
        <v>46</v>
      </c>
      <c r="N9" s="13" t="n">
        <f aca="false">100*('Priorização de Entrada'!$B$3*(H9/MAX(H$2:H$101))+'Priorização de Entrada'!$B$4*(1-K9/MAX(K$2:K$101))+'Priorização de Entrada'!$B$5*(IF(L9="Baixa",1,IF(L9="Média",0.5,0)))+'Priorização de Entrada'!$B$6*(IF(I9="Crescendo",1,IF(I9="Estável",0.5,0))))</f>
        <v>53.8481233242502</v>
      </c>
      <c r="O9" s="8" t="n">
        <f aca="false">SUMPRODUCT(($N$2:$N$101&gt;N9)*1)+SUMPRODUCT(($N$2:N9=N9)*1)</f>
        <v>27</v>
      </c>
    </row>
    <row r="10" customFormat="false" ht="15" hidden="false" customHeight="false" outlineLevel="0" collapsed="false">
      <c r="A10" s="8" t="n">
        <v>9</v>
      </c>
      <c r="B10" s="8" t="s">
        <v>65</v>
      </c>
      <c r="C10" s="8" t="s">
        <v>54</v>
      </c>
      <c r="D10" s="8" t="s">
        <v>50</v>
      </c>
      <c r="E10" s="8" t="n">
        <v>0</v>
      </c>
      <c r="F10" s="15" t="n">
        <v>4400000</v>
      </c>
      <c r="G10" s="16" t="n">
        <v>27600</v>
      </c>
      <c r="H10" s="14" t="n">
        <v>159.420289855073</v>
      </c>
      <c r="I10" s="8" t="s">
        <v>51</v>
      </c>
      <c r="J10" s="17" t="n">
        <v>0.6829</v>
      </c>
      <c r="K10" s="8" t="n">
        <v>371</v>
      </c>
      <c r="L10" s="8" t="s">
        <v>55</v>
      </c>
      <c r="M10" s="8" t="n">
        <v>0</v>
      </c>
      <c r="N10" s="13" t="n">
        <f aca="false">100*('Priorização de Entrada'!$B$3*(H10/MAX(H$2:H$101))+'Priorização de Entrada'!$B$4*(1-K10/MAX(K$2:K$101))+'Priorização de Entrada'!$B$5*(IF(L10="Baixa",1,IF(L10="Média",0.5,0)))+'Priorização de Entrada'!$B$6*(IF(I10="Crescendo",1,IF(I10="Estável",0.5,0))))</f>
        <v>34.8850225078951</v>
      </c>
      <c r="O10" s="8" t="n">
        <f aca="false">SUMPRODUCT(($N$2:$N$101&gt;N10)*1)+SUMPRODUCT(($N$2:N10=N10)*1)</f>
        <v>71</v>
      </c>
    </row>
    <row r="11" customFormat="false" ht="15" hidden="false" customHeight="false" outlineLevel="0" collapsed="false">
      <c r="A11" s="8" t="n">
        <v>10</v>
      </c>
      <c r="B11" s="8" t="s">
        <v>66</v>
      </c>
      <c r="C11" s="8" t="s">
        <v>67</v>
      </c>
      <c r="D11" s="8" t="s">
        <v>50</v>
      </c>
      <c r="E11" s="8" t="n">
        <v>1</v>
      </c>
      <c r="F11" s="15" t="n">
        <v>4100000</v>
      </c>
      <c r="G11" s="16" t="n">
        <v>21000</v>
      </c>
      <c r="H11" s="14" t="n">
        <v>195.238095238095</v>
      </c>
      <c r="I11" s="8" t="s">
        <v>60</v>
      </c>
      <c r="J11" s="17" t="n">
        <v>0.8333</v>
      </c>
      <c r="K11" s="8" t="n">
        <v>36</v>
      </c>
      <c r="L11" s="8" t="s">
        <v>52</v>
      </c>
      <c r="M11" s="8" t="n">
        <v>0</v>
      </c>
      <c r="N11" s="13" t="n">
        <f aca="false">100*('Priorização de Entrada'!$B$3*(H11/MAX(H$2:H$101))+'Priorização de Entrada'!$B$4*(1-K11/MAX(K$2:K$101))+'Priorização de Entrada'!$B$5*(IF(L11="Baixa",1,IF(L11="Média",0.5,0)))+'Priorização de Entrada'!$B$6*(IF(I11="Crescendo",1,IF(I11="Estável",0.5,0))))</f>
        <v>46.7651614681729</v>
      </c>
      <c r="O11" s="8" t="n">
        <f aca="false">SUMPRODUCT(($N$2:$N$101&gt;N11)*1)+SUMPRODUCT(($N$2:N11=N11)*1)</f>
        <v>38</v>
      </c>
    </row>
    <row r="12" customFormat="false" ht="15" hidden="false" customHeight="false" outlineLevel="0" collapsed="false">
      <c r="A12" s="8" t="n">
        <v>11</v>
      </c>
      <c r="B12" s="8" t="s">
        <v>68</v>
      </c>
      <c r="C12" s="8" t="s">
        <v>49</v>
      </c>
      <c r="D12" s="8" t="s">
        <v>50</v>
      </c>
      <c r="E12" s="8" t="n">
        <v>2</v>
      </c>
      <c r="F12" s="15" t="n">
        <v>3900000</v>
      </c>
      <c r="G12" s="16" t="n">
        <v>39400</v>
      </c>
      <c r="H12" s="14" t="n">
        <v>98.9847715736041</v>
      </c>
      <c r="I12" s="8" t="s">
        <v>60</v>
      </c>
      <c r="J12" s="17" t="n">
        <v>0.6278</v>
      </c>
      <c r="K12" s="8" t="n">
        <v>375</v>
      </c>
      <c r="L12" s="8" t="s">
        <v>52</v>
      </c>
      <c r="M12" s="8" t="n">
        <v>43</v>
      </c>
      <c r="N12" s="13" t="n">
        <f aca="false">100*('Priorização de Entrada'!$B$3*(H12/MAX(H$2:H$101))+'Priorização de Entrada'!$B$4*(1-K12/MAX(K$2:K$101))+'Priorização de Entrada'!$B$5*(IF(L12="Baixa",1,IF(L12="Média",0.5,0)))+'Priorização de Entrada'!$B$6*(IF(I12="Crescendo",1,IF(I12="Estável",0.5,0))))</f>
        <v>33.8263162361312</v>
      </c>
      <c r="O12" s="8" t="n">
        <f aca="false">SUMPRODUCT(($N$2:$N$101&gt;N12)*1)+SUMPRODUCT(($N$2:N12=N12)*1)</f>
        <v>73</v>
      </c>
    </row>
    <row r="13" customFormat="false" ht="15" hidden="false" customHeight="false" outlineLevel="0" collapsed="false">
      <c r="A13" s="8" t="n">
        <v>12</v>
      </c>
      <c r="B13" s="8" t="s">
        <v>69</v>
      </c>
      <c r="C13" s="8" t="s">
        <v>70</v>
      </c>
      <c r="D13" s="8" t="s">
        <v>50</v>
      </c>
      <c r="E13" s="8" t="n">
        <v>-4</v>
      </c>
      <c r="F13" s="15" t="n">
        <v>3700000</v>
      </c>
      <c r="G13" s="16" t="n">
        <v>7000</v>
      </c>
      <c r="H13" s="14" t="n">
        <v>528.571428571429</v>
      </c>
      <c r="I13" s="8" t="s">
        <v>62</v>
      </c>
      <c r="J13" s="17" t="n">
        <v>0.5949</v>
      </c>
      <c r="K13" s="8" t="n">
        <v>6</v>
      </c>
      <c r="L13" s="8" t="s">
        <v>52</v>
      </c>
      <c r="M13" s="8" t="n">
        <v>0</v>
      </c>
      <c r="N13" s="13" t="n">
        <f aca="false">100*('Priorização de Entrada'!$B$3*(H13/MAX(H$2:H$101))+'Priorização de Entrada'!$B$4*(1-K13/MAX(K$2:K$101))+'Priorização de Entrada'!$B$5*(IF(L13="Baixa",1,IF(L13="Média",0.5,0)))+'Priorização de Entrada'!$B$6*(IF(I13="Crescendo",1,IF(I13="Estável",0.5,0))))</f>
        <v>32.8730133031703</v>
      </c>
      <c r="O13" s="8" t="n">
        <f aca="false">SUMPRODUCT(($N$2:$N$101&gt;N13)*1)+SUMPRODUCT(($N$2:N13=N13)*1)</f>
        <v>76</v>
      </c>
    </row>
    <row r="14" customFormat="false" ht="15" hidden="false" customHeight="false" outlineLevel="0" collapsed="false">
      <c r="A14" s="8" t="n">
        <v>13</v>
      </c>
      <c r="B14" s="8" t="s">
        <v>71</v>
      </c>
      <c r="C14" s="8" t="s">
        <v>67</v>
      </c>
      <c r="D14" s="8" t="s">
        <v>50</v>
      </c>
      <c r="E14" s="8" t="n">
        <v>-3</v>
      </c>
      <c r="F14" s="15" t="n">
        <v>3400000</v>
      </c>
      <c r="G14" s="16" t="n">
        <v>42500</v>
      </c>
      <c r="H14" s="14" t="n">
        <v>80</v>
      </c>
      <c r="I14" s="8" t="s">
        <v>62</v>
      </c>
      <c r="J14" s="17" t="n">
        <v>0.7927</v>
      </c>
      <c r="K14" s="8" t="n">
        <v>4</v>
      </c>
      <c r="L14" s="8" t="s">
        <v>52</v>
      </c>
      <c r="M14" s="8" t="n">
        <v>0</v>
      </c>
      <c r="N14" s="13" t="n">
        <f aca="false">100*('Priorização de Entrada'!$B$3*(H14/MAX(H$2:H$101))+'Priorização de Entrada'!$B$4*(1-K14/MAX(K$2:K$101))+'Priorização de Entrada'!$B$5*(IF(L14="Baixa",1,IF(L14="Média",0.5,0)))+'Priorização de Entrada'!$B$6*(IF(I14="Crescendo",1,IF(I14="Estável",0.5,0))))</f>
        <v>26.0869940479772</v>
      </c>
      <c r="O14" s="8" t="n">
        <f aca="false">SUMPRODUCT(($N$2:$N$101&gt;N14)*1)+SUMPRODUCT(($N$2:N14=N14)*1)</f>
        <v>88</v>
      </c>
    </row>
    <row r="15" customFormat="false" ht="15" hidden="false" customHeight="false" outlineLevel="0" collapsed="false">
      <c r="A15" s="8" t="n">
        <v>14</v>
      </c>
      <c r="B15" s="8" t="s">
        <v>72</v>
      </c>
      <c r="C15" s="8" t="s">
        <v>49</v>
      </c>
      <c r="D15" s="8" t="s">
        <v>50</v>
      </c>
      <c r="E15" s="8" t="n">
        <v>2</v>
      </c>
      <c r="F15" s="15" t="n">
        <v>3100000</v>
      </c>
      <c r="G15" s="16" t="n">
        <v>42000</v>
      </c>
      <c r="H15" s="14" t="n">
        <v>73.8095238095238</v>
      </c>
      <c r="I15" s="8" t="s">
        <v>60</v>
      </c>
      <c r="J15" s="17" t="n">
        <v>0.5089</v>
      </c>
      <c r="K15" s="8" t="n">
        <v>53</v>
      </c>
      <c r="L15" s="8" t="s">
        <v>52</v>
      </c>
      <c r="M15" s="8" t="n">
        <v>0</v>
      </c>
      <c r="N15" s="13" t="n">
        <f aca="false">100*('Priorização de Entrada'!$B$3*(H15/MAX(H$2:H$101))+'Priorização de Entrada'!$B$4*(1-K15/MAX(K$2:K$101))+'Priorização de Entrada'!$B$5*(IF(L15="Baixa",1,IF(L15="Média",0.5,0)))+'Priorização de Entrada'!$B$6*(IF(I15="Crescendo",1,IF(I15="Estável",0.5,0))))</f>
        <v>44.3347649109603</v>
      </c>
      <c r="O15" s="8" t="n">
        <f aca="false">SUMPRODUCT(($N$2:$N$101&gt;N15)*1)+SUMPRODUCT(($N$2:N15=N15)*1)</f>
        <v>51</v>
      </c>
    </row>
    <row r="16" customFormat="false" ht="15" hidden="false" customHeight="false" outlineLevel="0" collapsed="false">
      <c r="A16" s="8" t="n">
        <v>15</v>
      </c>
      <c r="B16" s="8" t="s">
        <v>73</v>
      </c>
      <c r="C16" s="8" t="s">
        <v>58</v>
      </c>
      <c r="D16" s="8" t="s">
        <v>50</v>
      </c>
      <c r="E16" s="8" t="n">
        <v>-1</v>
      </c>
      <c r="F16" s="15" t="n">
        <v>2500000</v>
      </c>
      <c r="G16" s="16" t="n">
        <v>7400</v>
      </c>
      <c r="H16" s="14" t="n">
        <v>337.837837837838</v>
      </c>
      <c r="I16" s="8" t="s">
        <v>51</v>
      </c>
      <c r="J16" s="17" t="n">
        <v>0.6694</v>
      </c>
      <c r="K16" s="8" t="n">
        <v>96</v>
      </c>
      <c r="L16" s="8" t="s">
        <v>52</v>
      </c>
      <c r="M16" s="8" t="n">
        <v>0</v>
      </c>
      <c r="N16" s="13" t="n">
        <f aca="false">100*('Priorização de Entrada'!$B$3*(H16/MAX(H$2:H$101))+'Priorização de Entrada'!$B$4*(1-K16/MAX(K$2:K$101))+'Priorização de Entrada'!$B$5*(IF(L16="Baixa",1,IF(L16="Média",0.5,0)))+'Priorização de Entrada'!$B$6*(IF(I16="Crescendo",1,IF(I16="Estável",0.5,0))))</f>
        <v>36.9141587966706</v>
      </c>
      <c r="O16" s="8" t="n">
        <f aca="false">SUMPRODUCT(($N$2:$N$101&gt;N16)*1)+SUMPRODUCT(($N$2:N16=N16)*1)</f>
        <v>65</v>
      </c>
    </row>
    <row r="17" customFormat="false" ht="15" hidden="false" customHeight="false" outlineLevel="0" collapsed="false">
      <c r="A17" s="8" t="n">
        <v>16</v>
      </c>
      <c r="B17" s="8" t="s">
        <v>74</v>
      </c>
      <c r="C17" s="8" t="s">
        <v>75</v>
      </c>
      <c r="D17" s="8" t="s">
        <v>50</v>
      </c>
      <c r="E17" s="8" t="n">
        <v>4</v>
      </c>
      <c r="F17" s="15" t="n">
        <v>2400000</v>
      </c>
      <c r="G17" s="16" t="n">
        <v>7800</v>
      </c>
      <c r="H17" s="14" t="n">
        <v>307.692307692308</v>
      </c>
      <c r="I17" s="8" t="s">
        <v>60</v>
      </c>
      <c r="J17" s="17" t="n">
        <v>0.7042</v>
      </c>
      <c r="K17" s="8" t="n">
        <v>219</v>
      </c>
      <c r="L17" s="8" t="s">
        <v>55</v>
      </c>
      <c r="M17" s="8" t="n">
        <v>0</v>
      </c>
      <c r="N17" s="13" t="n">
        <f aca="false">100*('Priorização de Entrada'!$B$3*(H17/MAX(H$2:H$101))+'Priorização de Entrada'!$B$4*(1-K17/MAX(K$2:K$101))+'Priorização de Entrada'!$B$5*(IF(L17="Baixa",1,IF(L17="Média",0.5,0)))+'Priorização de Entrada'!$B$6*(IF(I17="Crescendo",1,IF(I17="Estável",0.5,0))))</f>
        <v>52.2925398222917</v>
      </c>
      <c r="O17" s="8" t="n">
        <f aca="false">SUMPRODUCT(($N$2:$N$101&gt;N17)*1)+SUMPRODUCT(($N$2:N17=N17)*1)</f>
        <v>32</v>
      </c>
    </row>
    <row r="18" customFormat="false" ht="15" hidden="false" customHeight="false" outlineLevel="0" collapsed="false">
      <c r="A18" s="8" t="n">
        <v>17</v>
      </c>
      <c r="B18" s="8" t="s">
        <v>76</v>
      </c>
      <c r="C18" s="8" t="s">
        <v>58</v>
      </c>
      <c r="D18" s="8" t="s">
        <v>50</v>
      </c>
      <c r="E18" s="8" t="n">
        <v>-2</v>
      </c>
      <c r="F18" s="15" t="n">
        <v>2400000</v>
      </c>
      <c r="G18" s="16" t="n">
        <v>4100</v>
      </c>
      <c r="H18" s="14" t="n">
        <v>585.365853658537</v>
      </c>
      <c r="I18" s="8" t="s">
        <v>60</v>
      </c>
      <c r="J18" s="17" t="n">
        <v>0.5539</v>
      </c>
      <c r="K18" s="8" t="n">
        <v>7</v>
      </c>
      <c r="L18" s="8" t="s">
        <v>52</v>
      </c>
      <c r="M18" s="8" t="n">
        <v>0</v>
      </c>
      <c r="N18" s="13" t="n">
        <f aca="false">100*('Priorização de Entrada'!$B$3*(H18/MAX(H$2:H$101))+'Priorização de Entrada'!$B$4*(1-K18/MAX(K$2:K$101))+'Priorização de Entrada'!$B$5*(IF(L18="Baixa",1,IF(L18="Média",0.5,0)))+'Priorização de Entrada'!$B$6*(IF(I18="Crescendo",1,IF(I18="Estável",0.5,0))))</f>
        <v>53.7069401774494</v>
      </c>
      <c r="O18" s="8" t="n">
        <f aca="false">SUMPRODUCT(($N$2:$N$101&gt;N18)*1)+SUMPRODUCT(($N$2:N18=N18)*1)</f>
        <v>29</v>
      </c>
    </row>
    <row r="19" customFormat="false" ht="15" hidden="false" customHeight="false" outlineLevel="0" collapsed="false">
      <c r="A19" s="8" t="n">
        <v>18</v>
      </c>
      <c r="B19" s="8" t="s">
        <v>77</v>
      </c>
      <c r="C19" s="8" t="s">
        <v>58</v>
      </c>
      <c r="D19" s="8" t="s">
        <v>50</v>
      </c>
      <c r="E19" s="8" t="n">
        <v>3</v>
      </c>
      <c r="F19" s="15" t="n">
        <v>2300000</v>
      </c>
      <c r="G19" s="16" t="n">
        <v>3600</v>
      </c>
      <c r="H19" s="14" t="n">
        <v>638.888888888889</v>
      </c>
      <c r="I19" s="8" t="s">
        <v>60</v>
      </c>
      <c r="J19" s="17" t="n">
        <v>0.7057</v>
      </c>
      <c r="K19" s="8" t="n">
        <v>80</v>
      </c>
      <c r="L19" s="8" t="s">
        <v>52</v>
      </c>
      <c r="M19" s="8" t="n">
        <v>0</v>
      </c>
      <c r="N19" s="13" t="n">
        <f aca="false">100*('Priorização de Entrada'!$B$3*(H19/MAX(H$2:H$101))+'Priorização de Entrada'!$B$4*(1-K19/MAX(K$2:K$101))+'Priorização de Entrada'!$B$5*(IF(L19="Baixa",1,IF(L19="Média",0.5,0)))+'Priorização de Entrada'!$B$6*(IF(I19="Crescendo",1,IF(I19="Estável",0.5,0))))</f>
        <v>52.0551598601094</v>
      </c>
      <c r="O19" s="8" t="n">
        <f aca="false">SUMPRODUCT(($N$2:$N$101&gt;N19)*1)+SUMPRODUCT(($N$2:N19=N19)*1)</f>
        <v>33</v>
      </c>
    </row>
    <row r="20" customFormat="false" ht="15" hidden="false" customHeight="false" outlineLevel="0" collapsed="false">
      <c r="A20" s="8" t="n">
        <v>19</v>
      </c>
      <c r="B20" s="8" t="s">
        <v>78</v>
      </c>
      <c r="C20" s="8" t="s">
        <v>58</v>
      </c>
      <c r="D20" s="8" t="s">
        <v>50</v>
      </c>
      <c r="E20" s="8" t="n">
        <v>0</v>
      </c>
      <c r="F20" s="15" t="n">
        <v>2200000</v>
      </c>
      <c r="G20" s="16" t="n">
        <v>7800</v>
      </c>
      <c r="H20" s="14" t="n">
        <v>282.051282051282</v>
      </c>
      <c r="I20" s="8" t="s">
        <v>51</v>
      </c>
      <c r="J20" s="17" t="n">
        <v>0.7126</v>
      </c>
      <c r="K20" s="8" t="n">
        <v>106</v>
      </c>
      <c r="L20" s="8" t="s">
        <v>52</v>
      </c>
      <c r="M20" s="8" t="n">
        <v>0</v>
      </c>
      <c r="N20" s="13" t="n">
        <f aca="false">100*('Priorização de Entrada'!$B$3*(H20/MAX(H$2:H$101))+'Priorização de Entrada'!$B$4*(1-K20/MAX(K$2:K$101))+'Priorização de Entrada'!$B$5*(IF(L20="Baixa",1,IF(L20="Média",0.5,0)))+'Priorização de Entrada'!$B$6*(IF(I20="Crescendo",1,IF(I20="Estável",0.5,0))))</f>
        <v>35.7235065646605</v>
      </c>
      <c r="O20" s="8" t="n">
        <f aca="false">SUMPRODUCT(($N$2:$N$101&gt;N20)*1)+SUMPRODUCT(($N$2:N20=N20)*1)</f>
        <v>69</v>
      </c>
    </row>
    <row r="21" customFormat="false" ht="15" hidden="false" customHeight="false" outlineLevel="0" collapsed="false">
      <c r="A21" s="8" t="n">
        <v>20</v>
      </c>
      <c r="B21" s="8" t="s">
        <v>79</v>
      </c>
      <c r="C21" s="8" t="s">
        <v>49</v>
      </c>
      <c r="D21" s="8" t="s">
        <v>50</v>
      </c>
      <c r="E21" s="8" t="n">
        <v>5</v>
      </c>
      <c r="F21" s="15" t="n">
        <v>2200000</v>
      </c>
      <c r="G21" s="16" t="n">
        <v>61400</v>
      </c>
      <c r="H21" s="14" t="n">
        <v>35.8306188925081</v>
      </c>
      <c r="I21" s="8" t="s">
        <v>60</v>
      </c>
      <c r="J21" s="17" t="n">
        <v>0.5443</v>
      </c>
      <c r="K21" s="8" t="n">
        <v>122</v>
      </c>
      <c r="L21" s="8" t="s">
        <v>52</v>
      </c>
      <c r="M21" s="8" t="n">
        <v>0</v>
      </c>
      <c r="N21" s="13" t="n">
        <f aca="false">100*('Priorização de Entrada'!$B$3*(H21/MAX(H$2:H$101))+'Priorização de Entrada'!$B$4*(1-K21/MAX(K$2:K$101))+'Priorização de Entrada'!$B$5*(IF(L21="Baixa",1,IF(L21="Média",0.5,0)))+'Priorização de Entrada'!$B$6*(IF(I21="Crescendo",1,IF(I21="Estável",0.5,0))))</f>
        <v>41.4202535458167</v>
      </c>
      <c r="O21" s="8" t="n">
        <f aca="false">SUMPRODUCT(($N$2:$N$101&gt;N21)*1)+SUMPRODUCT(($N$2:N21=N21)*1)</f>
        <v>58</v>
      </c>
    </row>
    <row r="22" customFormat="false" ht="15" hidden="false" customHeight="false" outlineLevel="0" collapsed="false">
      <c r="A22" s="8" t="n">
        <v>21</v>
      </c>
      <c r="B22" s="8" t="s">
        <v>80</v>
      </c>
      <c r="C22" s="8" t="s">
        <v>70</v>
      </c>
      <c r="D22" s="8" t="s">
        <v>50</v>
      </c>
      <c r="E22" s="8" t="n">
        <v>1</v>
      </c>
      <c r="F22" s="15" t="n">
        <v>2100000</v>
      </c>
      <c r="G22" s="16" t="n">
        <v>2700</v>
      </c>
      <c r="H22" s="14" t="n">
        <v>777.777777777778</v>
      </c>
      <c r="I22" s="8" t="s">
        <v>62</v>
      </c>
      <c r="J22" s="17" t="n">
        <v>0.8113</v>
      </c>
      <c r="K22" s="8" t="n">
        <v>77</v>
      </c>
      <c r="L22" s="8" t="s">
        <v>81</v>
      </c>
      <c r="M22" s="8" t="n">
        <v>0</v>
      </c>
      <c r="N22" s="13" t="n">
        <f aca="false">100*('Priorização de Entrada'!$B$3*(H22/MAX(H$2:H$101))+'Priorização de Entrada'!$B$4*(1-K22/MAX(K$2:K$101))+'Priorização de Entrada'!$B$5*(IF(L22="Baixa",1,IF(L22="Média",0.5,0)))+'Priorização de Entrada'!$B$6*(IF(I22="Crescendo",1,IF(I22="Estável",0.5,0))))</f>
        <v>54.2787178811193</v>
      </c>
      <c r="O22" s="8" t="n">
        <f aca="false">SUMPRODUCT(($N$2:$N$101&gt;N22)*1)+SUMPRODUCT(($N$2:N22=N22)*1)</f>
        <v>26</v>
      </c>
    </row>
    <row r="23" customFormat="false" ht="15" hidden="false" customHeight="false" outlineLevel="0" collapsed="false">
      <c r="A23" s="8" t="n">
        <v>22</v>
      </c>
      <c r="B23" s="8" t="s">
        <v>82</v>
      </c>
      <c r="C23" s="8" t="s">
        <v>58</v>
      </c>
      <c r="D23" s="8" t="s">
        <v>50</v>
      </c>
      <c r="E23" s="8" t="n">
        <v>2</v>
      </c>
      <c r="F23" s="15" t="n">
        <v>1900000</v>
      </c>
      <c r="G23" s="16" t="n">
        <v>3800</v>
      </c>
      <c r="H23" s="14" t="n">
        <v>500</v>
      </c>
      <c r="I23" s="8" t="s">
        <v>62</v>
      </c>
      <c r="J23" s="17" t="n">
        <v>0.7247</v>
      </c>
      <c r="K23" s="8" t="n">
        <v>106</v>
      </c>
      <c r="L23" s="8" t="s">
        <v>55</v>
      </c>
      <c r="M23" s="8" t="n">
        <v>0</v>
      </c>
      <c r="N23" s="13" t="n">
        <f aca="false">100*('Priorização de Entrada'!$B$3*(H23/MAX(H$2:H$101))+'Priorização de Entrada'!$B$4*(1-K23/MAX(K$2:K$101))+'Priorização de Entrada'!$B$5*(IF(L23="Baixa",1,IF(L23="Média",0.5,0)))+'Priorização de Entrada'!$B$6*(IF(I23="Crescendo",1,IF(I23="Estável",0.5,0))))</f>
        <v>39.0535233546611</v>
      </c>
      <c r="O23" s="8" t="n">
        <f aca="false">SUMPRODUCT(($N$2:$N$101&gt;N23)*1)+SUMPRODUCT(($N$2:N23=N23)*1)</f>
        <v>61</v>
      </c>
    </row>
    <row r="24" customFormat="false" ht="15" hidden="false" customHeight="false" outlineLevel="0" collapsed="false">
      <c r="A24" s="8" t="n">
        <v>23</v>
      </c>
      <c r="B24" s="8" t="s">
        <v>83</v>
      </c>
      <c r="C24" s="8" t="s">
        <v>67</v>
      </c>
      <c r="D24" s="8" t="s">
        <v>50</v>
      </c>
      <c r="E24" s="8" t="n">
        <v>-6</v>
      </c>
      <c r="F24" s="15" t="n">
        <v>1700000</v>
      </c>
      <c r="G24" s="16" t="n">
        <v>27000</v>
      </c>
      <c r="H24" s="14" t="n">
        <v>62.962962962963</v>
      </c>
      <c r="I24" s="8" t="s">
        <v>62</v>
      </c>
      <c r="J24" s="17" t="n">
        <v>0.5338</v>
      </c>
      <c r="K24" s="8" t="n">
        <v>115</v>
      </c>
      <c r="L24" s="8" t="s">
        <v>52</v>
      </c>
      <c r="M24" s="8" t="n">
        <v>0</v>
      </c>
      <c r="N24" s="13" t="n">
        <f aca="false">100*('Priorização de Entrada'!$B$3*(H24/MAX(H$2:H$101))+'Priorização de Entrada'!$B$4*(1-K24/MAX(K$2:K$101))+'Priorização de Entrada'!$B$5*(IF(L24="Baixa",1,IF(L24="Média",0.5,0)))+'Priorização de Entrada'!$B$6*(IF(I24="Crescendo",1,IF(I24="Estável",0.5,0))))</f>
        <v>22.0716124282525</v>
      </c>
      <c r="O24" s="8" t="n">
        <f aca="false">SUMPRODUCT(($N$2:$N$101&gt;N24)*1)+SUMPRODUCT(($N$2:N24=N24)*1)</f>
        <v>97</v>
      </c>
    </row>
    <row r="25" customFormat="false" ht="15" hidden="false" customHeight="false" outlineLevel="0" collapsed="false">
      <c r="A25" s="8" t="n">
        <v>24</v>
      </c>
      <c r="B25" s="8" t="s">
        <v>84</v>
      </c>
      <c r="C25" s="8" t="s">
        <v>54</v>
      </c>
      <c r="D25" s="8" t="s">
        <v>50</v>
      </c>
      <c r="E25" s="8" t="n">
        <v>3</v>
      </c>
      <c r="F25" s="15" t="n">
        <v>1600000</v>
      </c>
      <c r="G25" s="16" t="n">
        <v>4800</v>
      </c>
      <c r="H25" s="14" t="n">
        <v>333.333333333333</v>
      </c>
      <c r="I25" s="8" t="s">
        <v>60</v>
      </c>
      <c r="J25" s="17" t="n">
        <v>0.6917</v>
      </c>
      <c r="K25" s="8" t="n">
        <v>148</v>
      </c>
      <c r="L25" s="8" t="s">
        <v>55</v>
      </c>
      <c r="M25" s="8" t="n">
        <v>0</v>
      </c>
      <c r="N25" s="13" t="n">
        <f aca="false">100*('Priorização de Entrada'!$B$3*(H25/MAX(H$2:H$101))+'Priorização de Entrada'!$B$4*(1-K25/MAX(K$2:K$101))+'Priorização de Entrada'!$B$5*(IF(L25="Baixa",1,IF(L25="Média",0.5,0)))+'Priorização de Entrada'!$B$6*(IF(I25="Crescendo",1,IF(I25="Estável",0.5,0))))</f>
        <v>55.0862009554304</v>
      </c>
      <c r="O25" s="8" t="n">
        <f aca="false">SUMPRODUCT(($N$2:$N$101&gt;N25)*1)+SUMPRODUCT(($N$2:N25=N25)*1)</f>
        <v>22</v>
      </c>
    </row>
    <row r="26" customFormat="false" ht="15" hidden="false" customHeight="false" outlineLevel="0" collapsed="false">
      <c r="A26" s="8" t="n">
        <v>25</v>
      </c>
      <c r="B26" s="8" t="s">
        <v>85</v>
      </c>
      <c r="C26" s="8" t="s">
        <v>54</v>
      </c>
      <c r="D26" s="8" t="s">
        <v>50</v>
      </c>
      <c r="E26" s="8" t="n">
        <v>1</v>
      </c>
      <c r="F26" s="15" t="n">
        <v>1500000</v>
      </c>
      <c r="G26" s="16" t="n">
        <v>5800</v>
      </c>
      <c r="H26" s="14" t="n">
        <v>258.620689655172</v>
      </c>
      <c r="I26" s="8" t="s">
        <v>60</v>
      </c>
      <c r="J26" s="17" t="n">
        <v>0.6473</v>
      </c>
      <c r="K26" s="8" t="n">
        <v>125</v>
      </c>
      <c r="L26" s="8" t="s">
        <v>55</v>
      </c>
      <c r="M26" s="8" t="n">
        <v>0</v>
      </c>
      <c r="N26" s="13" t="n">
        <f aca="false">100*('Priorização de Entrada'!$B$3*(H26/MAX(H$2:H$101))+'Priorização de Entrada'!$B$4*(1-K26/MAX(K$2:K$101))+'Priorização de Entrada'!$B$5*(IF(L26="Baixa",1,IF(L26="Média",0.5,0)))+'Priorização de Entrada'!$B$6*(IF(I26="Crescendo",1,IF(I26="Estável",0.5,0))))</f>
        <v>54.7227523860958</v>
      </c>
      <c r="O26" s="8" t="n">
        <f aca="false">SUMPRODUCT(($N$2:$N$101&gt;N26)*1)+SUMPRODUCT(($N$2:N26=N26)*1)</f>
        <v>24</v>
      </c>
    </row>
    <row r="27" customFormat="false" ht="15" hidden="false" customHeight="false" outlineLevel="0" collapsed="false">
      <c r="A27" s="8" t="n">
        <v>26</v>
      </c>
      <c r="B27" s="8" t="s">
        <v>86</v>
      </c>
      <c r="C27" s="8" t="s">
        <v>58</v>
      </c>
      <c r="D27" s="8" t="s">
        <v>50</v>
      </c>
      <c r="E27" s="8" t="n">
        <v>6</v>
      </c>
      <c r="F27" s="15" t="n">
        <v>1500000</v>
      </c>
      <c r="G27" s="16" t="n">
        <v>3200</v>
      </c>
      <c r="H27" s="14" t="n">
        <v>468.75</v>
      </c>
      <c r="I27" s="8" t="s">
        <v>60</v>
      </c>
      <c r="J27" s="17" t="n">
        <v>0.726</v>
      </c>
      <c r="K27" s="8" t="n">
        <v>109</v>
      </c>
      <c r="L27" s="8" t="s">
        <v>52</v>
      </c>
      <c r="M27" s="8" t="n">
        <v>0</v>
      </c>
      <c r="N27" s="13" t="n">
        <f aca="false">100*('Priorização de Entrada'!$B$3*(H27/MAX(H$2:H$101))+'Priorização de Entrada'!$B$4*(1-K27/MAX(K$2:K$101))+'Priorização de Entrada'!$B$5*(IF(L27="Baixa",1,IF(L27="Média",0.5,0)))+'Priorização de Entrada'!$B$6*(IF(I27="Crescendo",1,IF(I27="Estável",0.5,0))))</f>
        <v>48.474569214007</v>
      </c>
      <c r="O27" s="8" t="n">
        <f aca="false">SUMPRODUCT(($N$2:$N$101&gt;N27)*1)+SUMPRODUCT(($N$2:N27=N27)*1)</f>
        <v>36</v>
      </c>
    </row>
    <row r="28" customFormat="false" ht="15" hidden="false" customHeight="false" outlineLevel="0" collapsed="false">
      <c r="A28" s="8" t="n">
        <v>27</v>
      </c>
      <c r="B28" s="8" t="s">
        <v>87</v>
      </c>
      <c r="C28" s="8" t="s">
        <v>54</v>
      </c>
      <c r="D28" s="8" t="s">
        <v>50</v>
      </c>
      <c r="E28" s="8" t="n">
        <v>2</v>
      </c>
      <c r="F28" s="15" t="n">
        <v>1500000</v>
      </c>
      <c r="G28" s="16" t="n">
        <v>5400</v>
      </c>
      <c r="H28" s="14" t="n">
        <v>277.777777777778</v>
      </c>
      <c r="I28" s="8" t="s">
        <v>60</v>
      </c>
      <c r="J28" s="17" t="n">
        <v>0.6021</v>
      </c>
      <c r="K28" s="8" t="n">
        <v>82</v>
      </c>
      <c r="L28" s="8" t="s">
        <v>52</v>
      </c>
      <c r="M28" s="8" t="n">
        <v>0</v>
      </c>
      <c r="N28" s="13" t="n">
        <f aca="false">100*('Priorização de Entrada'!$B$3*(H28/MAX(H$2:H$101))+'Priorização de Entrada'!$B$4*(1-K28/MAX(K$2:K$101))+'Priorização de Entrada'!$B$5*(IF(L28="Baixa",1,IF(L28="Média",0.5,0)))+'Priorização de Entrada'!$B$6*(IF(I28="Crescendo",1,IF(I28="Estável",0.5,0))))</f>
        <v>46.4701201015596</v>
      </c>
      <c r="O28" s="8" t="n">
        <f aca="false">SUMPRODUCT(($N$2:$N$101&gt;N28)*1)+SUMPRODUCT(($N$2:N28=N28)*1)</f>
        <v>39</v>
      </c>
    </row>
    <row r="29" customFormat="false" ht="15" hidden="false" customHeight="false" outlineLevel="0" collapsed="false">
      <c r="A29" s="8" t="n">
        <v>28</v>
      </c>
      <c r="B29" s="8" t="s">
        <v>88</v>
      </c>
      <c r="C29" s="8" t="s">
        <v>70</v>
      </c>
      <c r="D29" s="8" t="s">
        <v>50</v>
      </c>
      <c r="E29" s="8" t="n">
        <v>13</v>
      </c>
      <c r="F29" s="15" t="n">
        <v>1400000</v>
      </c>
      <c r="G29" s="16" t="n">
        <v>1400</v>
      </c>
      <c r="H29" s="14" t="n">
        <v>1000</v>
      </c>
      <c r="I29" s="8" t="s">
        <v>62</v>
      </c>
      <c r="J29" s="17" t="n">
        <v>0.6857</v>
      </c>
      <c r="K29" s="8" t="n">
        <v>51</v>
      </c>
      <c r="L29" s="8" t="s">
        <v>81</v>
      </c>
      <c r="M29" s="8" t="n">
        <v>13</v>
      </c>
      <c r="N29" s="13" t="n">
        <f aca="false">100*('Priorização de Entrada'!$B$3*(H29/MAX(H$2:H$101))+'Priorização de Entrada'!$B$4*(1-K29/MAX(K$2:K$101))+'Priorização de Entrada'!$B$5*(IF(L29="Baixa",1,IF(L29="Média",0.5,0)))+'Priorização de Entrada'!$B$6*(IF(I29="Crescendo",1,IF(I29="Estável",0.5,0))))</f>
        <v>58.5535961003913</v>
      </c>
      <c r="O29" s="8" t="n">
        <f aca="false">SUMPRODUCT(($N$2:$N$101&gt;N29)*1)+SUMPRODUCT(($N$2:N29=N29)*1)</f>
        <v>15</v>
      </c>
    </row>
    <row r="30" customFormat="false" ht="15" hidden="false" customHeight="false" outlineLevel="0" collapsed="false">
      <c r="A30" s="8" t="n">
        <v>29</v>
      </c>
      <c r="B30" s="8" t="s">
        <v>89</v>
      </c>
      <c r="C30" s="8" t="s">
        <v>67</v>
      </c>
      <c r="D30" s="8" t="s">
        <v>50</v>
      </c>
      <c r="E30" s="8" t="n">
        <v>2</v>
      </c>
      <c r="F30" s="15" t="n">
        <v>1400000</v>
      </c>
      <c r="G30" s="16" t="n">
        <v>17800</v>
      </c>
      <c r="H30" s="14" t="n">
        <v>78.6516853932584</v>
      </c>
      <c r="I30" s="8" t="s">
        <v>60</v>
      </c>
      <c r="J30" s="17" t="n">
        <v>0.3901</v>
      </c>
      <c r="K30" s="8" t="n">
        <v>30</v>
      </c>
      <c r="L30" s="8" t="s">
        <v>52</v>
      </c>
      <c r="M30" s="8" t="n">
        <v>0</v>
      </c>
      <c r="N30" s="13" t="n">
        <f aca="false">100*('Priorização de Entrada'!$B$3*(H30/MAX(H$2:H$101))+'Priorização de Entrada'!$B$4*(1-K30/MAX(K$2:K$101))+'Priorização de Entrada'!$B$5*(IF(L30="Baixa",1,IF(L30="Média",0.5,0)))+'Priorização de Entrada'!$B$6*(IF(I30="Crescendo",1,IF(I30="Estável",0.5,0))))</f>
        <v>45.1868263007606</v>
      </c>
      <c r="O30" s="8" t="n">
        <f aca="false">SUMPRODUCT(($N$2:$N$101&gt;N30)*1)+SUMPRODUCT(($N$2:N30=N30)*1)</f>
        <v>44</v>
      </c>
    </row>
    <row r="31" customFormat="false" ht="15" hidden="false" customHeight="false" outlineLevel="0" collapsed="false">
      <c r="A31" s="8" t="n">
        <v>30</v>
      </c>
      <c r="B31" s="8" t="s">
        <v>90</v>
      </c>
      <c r="C31" s="8" t="s">
        <v>58</v>
      </c>
      <c r="D31" s="8" t="s">
        <v>50</v>
      </c>
      <c r="E31" s="8" t="n">
        <v>-12</v>
      </c>
      <c r="F31" s="15" t="n">
        <v>1400000</v>
      </c>
      <c r="G31" s="16" t="n">
        <v>2600</v>
      </c>
      <c r="H31" s="14" t="n">
        <v>538.461538461539</v>
      </c>
      <c r="I31" s="8" t="s">
        <v>62</v>
      </c>
      <c r="J31" s="17" t="n">
        <v>0.8732</v>
      </c>
      <c r="K31" s="8" t="n">
        <v>6</v>
      </c>
      <c r="L31" s="8" t="s">
        <v>52</v>
      </c>
      <c r="M31" s="8" t="n">
        <v>0</v>
      </c>
      <c r="N31" s="13" t="n">
        <f aca="false">100*('Priorização de Entrada'!$B$3*(H31/MAX(H$2:H$101))+'Priorização de Entrada'!$B$4*(1-K31/MAX(K$2:K$101))+'Priorização de Entrada'!$B$5*(IF(L31="Baixa",1,IF(L31="Média",0.5,0)))+'Priorização de Entrada'!$B$6*(IF(I31="Crescendo",1,IF(I31="Estável",0.5,0))))</f>
        <v>33.024123308767</v>
      </c>
      <c r="O31" s="8" t="n">
        <f aca="false">SUMPRODUCT(($N$2:$N$101&gt;N31)*1)+SUMPRODUCT(($N$2:N31=N31)*1)</f>
        <v>75</v>
      </c>
    </row>
    <row r="32" customFormat="false" ht="15" hidden="false" customHeight="false" outlineLevel="0" collapsed="false">
      <c r="A32" s="8" t="n">
        <v>31</v>
      </c>
      <c r="B32" s="8" t="s">
        <v>91</v>
      </c>
      <c r="C32" s="8" t="s">
        <v>58</v>
      </c>
      <c r="D32" s="8" t="s">
        <v>50</v>
      </c>
      <c r="E32" s="8" t="n">
        <v>-1</v>
      </c>
      <c r="F32" s="15" t="n">
        <v>1400000</v>
      </c>
      <c r="G32" s="16" t="n">
        <v>3600</v>
      </c>
      <c r="H32" s="14" t="n">
        <v>388.888888888889</v>
      </c>
      <c r="I32" s="8" t="s">
        <v>62</v>
      </c>
      <c r="J32" s="17" t="n">
        <v>0.7647</v>
      </c>
      <c r="K32" s="8" t="n">
        <v>75</v>
      </c>
      <c r="L32" s="8" t="s">
        <v>52</v>
      </c>
      <c r="M32" s="8" t="n">
        <v>0</v>
      </c>
      <c r="N32" s="13" t="n">
        <f aca="false">100*('Priorização de Entrada'!$B$3*(H32/MAX(H$2:H$101))+'Priorização de Entrada'!$B$4*(1-K32/MAX(K$2:K$101))+'Priorização de Entrada'!$B$5*(IF(L32="Baixa",1,IF(L32="Média",0.5,0)))+'Priorização de Entrada'!$B$6*(IF(I32="Crescendo",1,IF(I32="Estável",0.5,0))))</f>
        <v>28.4045822152552</v>
      </c>
      <c r="O32" s="8" t="n">
        <f aca="false">SUMPRODUCT(($N$2:$N$101&gt;N32)*1)+SUMPRODUCT(($N$2:N32=N32)*1)</f>
        <v>79</v>
      </c>
    </row>
    <row r="33" customFormat="false" ht="15" hidden="false" customHeight="false" outlineLevel="0" collapsed="false">
      <c r="A33" s="8" t="n">
        <v>32</v>
      </c>
      <c r="B33" s="8" t="s">
        <v>92</v>
      </c>
      <c r="C33" s="8" t="s">
        <v>49</v>
      </c>
      <c r="D33" s="8" t="s">
        <v>50</v>
      </c>
      <c r="E33" s="8" t="n">
        <v>2</v>
      </c>
      <c r="F33" s="15" t="n">
        <v>1400000</v>
      </c>
      <c r="G33" s="16" t="n">
        <v>13100</v>
      </c>
      <c r="H33" s="14" t="n">
        <v>106.870229007634</v>
      </c>
      <c r="I33" s="8" t="s">
        <v>62</v>
      </c>
      <c r="J33" s="17" t="n">
        <v>0.6097</v>
      </c>
      <c r="K33" s="8" t="n">
        <v>55</v>
      </c>
      <c r="L33" s="8" t="s">
        <v>81</v>
      </c>
      <c r="M33" s="8" t="n">
        <v>0</v>
      </c>
      <c r="N33" s="13" t="n">
        <f aca="false">100*('Priorização de Entrada'!$B$3*(H33/MAX(H$2:H$101))+'Priorização de Entrada'!$B$4*(1-K33/MAX(K$2:K$101))+'Priorização de Entrada'!$B$5*(IF(L33="Baixa",1,IF(L33="Média",0.5,0)))+'Priorização de Entrada'!$B$6*(IF(I33="Crescendo",1,IF(I33="Estável",0.5,0))))</f>
        <v>44.7722371396735</v>
      </c>
      <c r="O33" s="8" t="n">
        <f aca="false">SUMPRODUCT(($N$2:$N$101&gt;N33)*1)+SUMPRODUCT(($N$2:N33=N33)*1)</f>
        <v>48</v>
      </c>
    </row>
    <row r="34" customFormat="false" ht="15" hidden="false" customHeight="false" outlineLevel="0" collapsed="false">
      <c r="A34" s="8" t="n">
        <v>33</v>
      </c>
      <c r="B34" s="8" t="s">
        <v>93</v>
      </c>
      <c r="C34" s="8" t="s">
        <v>58</v>
      </c>
      <c r="D34" s="8" t="s">
        <v>50</v>
      </c>
      <c r="E34" s="8" t="n">
        <v>4</v>
      </c>
      <c r="F34" s="15" t="n">
        <v>1400000</v>
      </c>
      <c r="G34" s="16" t="n">
        <v>12700</v>
      </c>
      <c r="H34" s="14" t="n">
        <v>110.236220472441</v>
      </c>
      <c r="I34" s="8" t="s">
        <v>60</v>
      </c>
      <c r="J34" s="17" t="n">
        <v>0.6536</v>
      </c>
      <c r="K34" s="8" t="n">
        <v>53</v>
      </c>
      <c r="L34" s="8" t="s">
        <v>52</v>
      </c>
      <c r="M34" s="8" t="n">
        <v>0</v>
      </c>
      <c r="N34" s="13" t="n">
        <f aca="false">100*('Priorização de Entrada'!$B$3*(H34/MAX(H$2:H$101))+'Priorização de Entrada'!$B$4*(1-K34/MAX(K$2:K$101))+'Priorização de Entrada'!$B$5*(IF(L34="Baixa",1,IF(L34="Média",0.5,0)))+'Priorização de Entrada'!$B$6*(IF(I34="Crescendo",1,IF(I34="Estável",0.5,0))))</f>
        <v>44.8913247872167</v>
      </c>
      <c r="O34" s="8" t="n">
        <f aca="false">SUMPRODUCT(($N$2:$N$101&gt;N34)*1)+SUMPRODUCT(($N$2:N34=N34)*1)</f>
        <v>46</v>
      </c>
    </row>
    <row r="35" customFormat="false" ht="15" hidden="false" customHeight="false" outlineLevel="0" collapsed="false">
      <c r="A35" s="8" t="n">
        <v>34</v>
      </c>
      <c r="B35" s="8" t="s">
        <v>94</v>
      </c>
      <c r="C35" s="8" t="s">
        <v>58</v>
      </c>
      <c r="D35" s="8" t="s">
        <v>50</v>
      </c>
      <c r="E35" s="8" t="n">
        <v>-1</v>
      </c>
      <c r="F35" s="15" t="n">
        <v>1300000</v>
      </c>
      <c r="G35" s="16" t="n">
        <v>1800</v>
      </c>
      <c r="H35" s="14" t="n">
        <v>722.222222222222</v>
      </c>
      <c r="I35" s="8" t="s">
        <v>51</v>
      </c>
      <c r="J35" s="17" t="n">
        <v>0.7171</v>
      </c>
      <c r="K35" s="8" t="n">
        <v>70</v>
      </c>
      <c r="L35" s="8" t="s">
        <v>55</v>
      </c>
      <c r="M35" s="8" t="n">
        <v>0</v>
      </c>
      <c r="N35" s="13" t="n">
        <f aca="false">100*('Priorização de Entrada'!$B$3*(H35/MAX(H$2:H$101))+'Priorização de Entrada'!$B$4*(1-K35/MAX(K$2:K$101))+'Priorização de Entrada'!$B$5*(IF(L35="Baixa",1,IF(L35="Média",0.5,0)))+'Priorização de Entrada'!$B$6*(IF(I35="Crescendo",1,IF(I35="Estável",0.5,0))))</f>
        <v>53.6666965671673</v>
      </c>
      <c r="O35" s="8" t="n">
        <f aca="false">SUMPRODUCT(($N$2:$N$101&gt;N35)*1)+SUMPRODUCT(($N$2:N35=N35)*1)</f>
        <v>30</v>
      </c>
    </row>
    <row r="36" customFormat="false" ht="15" hidden="false" customHeight="false" outlineLevel="0" collapsed="false">
      <c r="A36" s="8" t="n">
        <v>35</v>
      </c>
      <c r="B36" s="8" t="s">
        <v>95</v>
      </c>
      <c r="C36" s="8" t="s">
        <v>58</v>
      </c>
      <c r="D36" s="8" t="s">
        <v>50</v>
      </c>
      <c r="E36" s="8" t="n">
        <v>-12</v>
      </c>
      <c r="F36" s="15" t="n">
        <v>1300000</v>
      </c>
      <c r="G36" s="16" t="n">
        <v>3400</v>
      </c>
      <c r="H36" s="14" t="n">
        <v>382.352941176471</v>
      </c>
      <c r="I36" s="8" t="s">
        <v>62</v>
      </c>
      <c r="J36" s="17" t="n">
        <v>0.6327</v>
      </c>
      <c r="K36" s="8" t="n">
        <v>7</v>
      </c>
      <c r="L36" s="8" t="s">
        <v>52</v>
      </c>
      <c r="M36" s="8" t="n">
        <v>0</v>
      </c>
      <c r="N36" s="13" t="n">
        <f aca="false">100*('Priorização de Entrada'!$B$3*(H36/MAX(H$2:H$101))+'Priorização de Entrada'!$B$4*(1-K36/MAX(K$2:K$101))+'Priorização de Entrada'!$B$5*(IF(L36="Baixa",1,IF(L36="Média",0.5,0)))+'Priorização de Entrada'!$B$6*(IF(I36="Crescendo",1,IF(I36="Estável",0.5,0))))</f>
        <v>30.6051260740452</v>
      </c>
      <c r="O36" s="8" t="n">
        <f aca="false">SUMPRODUCT(($N$2:$N$101&gt;N36)*1)+SUMPRODUCT(($N$2:N36=N36)*1)</f>
        <v>77</v>
      </c>
    </row>
    <row r="37" customFormat="false" ht="15" hidden="false" customHeight="false" outlineLevel="0" collapsed="false">
      <c r="A37" s="8" t="n">
        <v>36</v>
      </c>
      <c r="B37" s="8" t="s">
        <v>96</v>
      </c>
      <c r="C37" s="8" t="s">
        <v>49</v>
      </c>
      <c r="D37" s="8" t="s">
        <v>50</v>
      </c>
      <c r="E37" s="8" t="n">
        <v>2</v>
      </c>
      <c r="F37" s="15" t="n">
        <v>1200000</v>
      </c>
      <c r="G37" s="16" t="n">
        <v>11500</v>
      </c>
      <c r="H37" s="14" t="n">
        <v>104.347826086957</v>
      </c>
      <c r="I37" s="8" t="s">
        <v>62</v>
      </c>
      <c r="J37" s="17" t="n">
        <v>0.6262</v>
      </c>
      <c r="K37" s="8" t="n">
        <v>57</v>
      </c>
      <c r="L37" s="8" t="s">
        <v>81</v>
      </c>
      <c r="M37" s="8" t="n">
        <v>0</v>
      </c>
      <c r="N37" s="13" t="n">
        <f aca="false">100*('Priorização de Entrada'!$B$3*(H37/MAX(H$2:H$101))+'Priorização de Entrada'!$B$4*(1-K37/MAX(K$2:K$101))+'Priorização de Entrada'!$B$5*(IF(L37="Baixa",1,IF(L37="Média",0.5,0)))+'Priorização de Entrada'!$B$6*(IF(I37="Crescendo",1,IF(I37="Estável",0.5,0))))</f>
        <v>44.6660385976145</v>
      </c>
      <c r="O37" s="8" t="n">
        <f aca="false">SUMPRODUCT(($N$2:$N$101&gt;N37)*1)+SUMPRODUCT(($N$2:N37=N37)*1)</f>
        <v>50</v>
      </c>
    </row>
    <row r="38" customFormat="false" ht="15" hidden="false" customHeight="false" outlineLevel="0" collapsed="false">
      <c r="A38" s="8" t="n">
        <v>37</v>
      </c>
      <c r="B38" s="8" t="s">
        <v>97</v>
      </c>
      <c r="C38" s="8" t="s">
        <v>54</v>
      </c>
      <c r="D38" s="8" t="s">
        <v>50</v>
      </c>
      <c r="E38" s="8" t="n">
        <v>2</v>
      </c>
      <c r="F38" s="15" t="n">
        <v>1200000</v>
      </c>
      <c r="G38" s="16" t="n">
        <v>4500</v>
      </c>
      <c r="H38" s="14" t="n">
        <v>266.666666666667</v>
      </c>
      <c r="I38" s="8" t="s">
        <v>60</v>
      </c>
      <c r="J38" s="17" t="n">
        <v>0.6679</v>
      </c>
      <c r="K38" s="8" t="n">
        <v>122</v>
      </c>
      <c r="L38" s="8" t="s">
        <v>55</v>
      </c>
      <c r="M38" s="8" t="n">
        <v>0</v>
      </c>
      <c r="N38" s="13" t="n">
        <f aca="false">100*('Priorização de Entrada'!$B$3*(H38/MAX(H$2:H$101))+'Priorização de Entrada'!$B$4*(1-K38/MAX(K$2:K$101))+'Priorização de Entrada'!$B$5*(IF(L38="Baixa",1,IF(L38="Média",0.5,0)))+'Priorização de Entrada'!$B$6*(IF(I38="Crescendo",1,IF(I38="Estável",0.5,0))))</f>
        <v>54.94717456678</v>
      </c>
      <c r="O38" s="8" t="n">
        <f aca="false">SUMPRODUCT(($N$2:$N$101&gt;N38)*1)+SUMPRODUCT(($N$2:N38=N38)*1)</f>
        <v>23</v>
      </c>
    </row>
    <row r="39" customFormat="false" ht="15" hidden="false" customHeight="false" outlineLevel="0" collapsed="false">
      <c r="A39" s="8" t="n">
        <v>38</v>
      </c>
      <c r="B39" s="8" t="s">
        <v>98</v>
      </c>
      <c r="C39" s="8" t="s">
        <v>99</v>
      </c>
      <c r="D39" s="8" t="s">
        <v>50</v>
      </c>
      <c r="E39" s="8" t="n">
        <v>-3</v>
      </c>
      <c r="F39" s="15" t="n">
        <v>1200000</v>
      </c>
      <c r="G39" s="16" t="n">
        <v>17900</v>
      </c>
      <c r="H39" s="14" t="n">
        <v>67.0391061452514</v>
      </c>
      <c r="I39" s="8" t="s">
        <v>60</v>
      </c>
      <c r="J39" s="17" t="n">
        <v>0.5926</v>
      </c>
      <c r="K39" s="8" t="n">
        <v>4</v>
      </c>
      <c r="L39" s="8" t="s">
        <v>52</v>
      </c>
      <c r="M39" s="8" t="n">
        <v>0</v>
      </c>
      <c r="N39" s="13" t="n">
        <f aca="false">100*('Priorização de Entrada'!$B$3*(H39/MAX(H$2:H$101))+'Priorização de Entrada'!$B$4*(1-K39/MAX(K$2:K$101))+'Priorização de Entrada'!$B$5*(IF(L39="Baixa",1,IF(L39="Média",0.5,0)))+'Priorização de Entrada'!$B$6*(IF(I39="Crescendo",1,IF(I39="Estável",0.5,0))))</f>
        <v>45.8889658395255</v>
      </c>
      <c r="O39" s="8" t="n">
        <f aca="false">SUMPRODUCT(($N$2:$N$101&gt;N39)*1)+SUMPRODUCT(($N$2:N39=N39)*1)</f>
        <v>42</v>
      </c>
    </row>
    <row r="40" customFormat="false" ht="15" hidden="false" customHeight="false" outlineLevel="0" collapsed="false">
      <c r="A40" s="8" t="n">
        <v>39</v>
      </c>
      <c r="B40" s="8" t="s">
        <v>100</v>
      </c>
      <c r="C40" s="8" t="s">
        <v>58</v>
      </c>
      <c r="D40" s="8" t="s">
        <v>50</v>
      </c>
      <c r="E40" s="8" t="n">
        <v>-11</v>
      </c>
      <c r="F40" s="15" t="n">
        <v>1200000</v>
      </c>
      <c r="G40" s="16" t="n">
        <v>6800</v>
      </c>
      <c r="H40" s="14" t="n">
        <v>176.470588235294</v>
      </c>
      <c r="I40" s="8" t="s">
        <v>62</v>
      </c>
      <c r="J40" s="17" t="n">
        <v>0.726</v>
      </c>
      <c r="K40" s="8" t="n">
        <v>82</v>
      </c>
      <c r="L40" s="8" t="s">
        <v>52</v>
      </c>
      <c r="M40" s="8" t="n">
        <v>0</v>
      </c>
      <c r="N40" s="13" t="n">
        <f aca="false">100*('Priorização de Entrada'!$B$3*(H40/MAX(H$2:H$101))+'Priorização de Entrada'!$B$4*(1-K40/MAX(K$2:K$101))+'Priorização de Entrada'!$B$5*(IF(L40="Baixa",1,IF(L40="Média",0.5,0)))+'Priorização de Entrada'!$B$6*(IF(I40="Crescendo",1,IF(I40="Estável",0.5,0))))</f>
        <v>24.9222576259307</v>
      </c>
      <c r="O40" s="8" t="n">
        <f aca="false">SUMPRODUCT(($N$2:$N$101&gt;N40)*1)+SUMPRODUCT(($N$2:N40=N40)*1)</f>
        <v>91</v>
      </c>
    </row>
    <row r="41" customFormat="false" ht="15" hidden="false" customHeight="false" outlineLevel="0" collapsed="false">
      <c r="A41" s="8" t="n">
        <v>40</v>
      </c>
      <c r="B41" s="8" t="s">
        <v>101</v>
      </c>
      <c r="C41" s="8" t="s">
        <v>54</v>
      </c>
      <c r="D41" s="8" t="s">
        <v>50</v>
      </c>
      <c r="E41" s="8" t="n">
        <v>-4</v>
      </c>
      <c r="F41" s="15" t="n">
        <v>1100000</v>
      </c>
      <c r="G41" s="16" t="n">
        <v>5800</v>
      </c>
      <c r="H41" s="14" t="n">
        <v>189.655172413793</v>
      </c>
      <c r="I41" s="8" t="s">
        <v>62</v>
      </c>
      <c r="J41" s="17" t="n">
        <v>0.6617</v>
      </c>
      <c r="K41" s="8" t="n">
        <v>93</v>
      </c>
      <c r="L41" s="8" t="s">
        <v>52</v>
      </c>
      <c r="M41" s="8" t="n">
        <v>0</v>
      </c>
      <c r="N41" s="13" t="n">
        <f aca="false">100*('Priorização de Entrada'!$B$3*(H41/MAX(H$2:H$101))+'Priorização de Entrada'!$B$4*(1-K41/MAX(K$2:K$101))+'Priorização de Entrada'!$B$5*(IF(L41="Baixa",1,IF(L41="Média",0.5,0)))+'Priorização de Entrada'!$B$6*(IF(I41="Crescendo",1,IF(I41="Estável",0.5,0))))</f>
        <v>24.751579084039</v>
      </c>
      <c r="O41" s="8" t="n">
        <f aca="false">SUMPRODUCT(($N$2:$N$101&gt;N41)*1)+SUMPRODUCT(($N$2:N41=N41)*1)</f>
        <v>94</v>
      </c>
    </row>
    <row r="42" customFormat="false" ht="15" hidden="false" customHeight="false" outlineLevel="0" collapsed="false">
      <c r="A42" s="8" t="n">
        <v>41</v>
      </c>
      <c r="B42" s="8" t="s">
        <v>102</v>
      </c>
      <c r="C42" s="8" t="s">
        <v>49</v>
      </c>
      <c r="D42" s="8" t="s">
        <v>50</v>
      </c>
      <c r="E42" s="8" t="n">
        <v>1</v>
      </c>
      <c r="F42" s="15" t="n">
        <v>1000000</v>
      </c>
      <c r="G42" s="16" t="n">
        <v>26500</v>
      </c>
      <c r="H42" s="14" t="n">
        <v>37.7358490566038</v>
      </c>
      <c r="I42" s="8" t="s">
        <v>62</v>
      </c>
      <c r="J42" s="17" t="n">
        <v>0.3871</v>
      </c>
      <c r="K42" s="8" t="n">
        <v>3</v>
      </c>
      <c r="L42" s="8" t="s">
        <v>52</v>
      </c>
      <c r="M42" s="8" t="n">
        <v>0</v>
      </c>
      <c r="N42" s="13" t="n">
        <f aca="false">100*('Priorização de Entrada'!$B$3*(H42/MAX(H$2:H$101))+'Priorização de Entrada'!$B$4*(1-K42/MAX(K$2:K$101))+'Priorização de Entrada'!$B$5*(IF(L42="Baixa",1,IF(L42="Média",0.5,0)))+'Priorização de Entrada'!$B$6*(IF(I42="Crescendo",1,IF(I42="Estável",0.5,0))))</f>
        <v>25.4750737875349</v>
      </c>
      <c r="O42" s="8" t="n">
        <f aca="false">SUMPRODUCT(($N$2:$N$101&gt;N42)*1)+SUMPRODUCT(($N$2:N42=N42)*1)</f>
        <v>90</v>
      </c>
    </row>
    <row r="43" customFormat="false" ht="15" hidden="false" customHeight="false" outlineLevel="0" collapsed="false">
      <c r="A43" s="8" t="n">
        <v>42</v>
      </c>
      <c r="B43" s="8" t="s">
        <v>103</v>
      </c>
      <c r="C43" s="8" t="s">
        <v>58</v>
      </c>
      <c r="D43" s="8" t="s">
        <v>50</v>
      </c>
      <c r="E43" s="8" t="n">
        <v>4</v>
      </c>
      <c r="F43" s="15" t="n">
        <v>968000</v>
      </c>
      <c r="G43" s="16" t="n">
        <v>2500</v>
      </c>
      <c r="H43" s="14" t="n">
        <v>387.2</v>
      </c>
      <c r="I43" s="8" t="s">
        <v>60</v>
      </c>
      <c r="J43" s="17" t="n">
        <v>0.7072</v>
      </c>
      <c r="K43" s="8" t="n">
        <v>77</v>
      </c>
      <c r="L43" s="8" t="s">
        <v>55</v>
      </c>
      <c r="M43" s="8" t="n">
        <v>0</v>
      </c>
      <c r="N43" s="13" t="n">
        <f aca="false">100*('Priorização de Entrada'!$B$3*(H43/MAX(H$2:H$101))+'Priorização de Entrada'!$B$4*(1-K43/MAX(K$2:K$101))+'Priorização de Entrada'!$B$5*(IF(L43="Baixa",1,IF(L43="Média",0.5,0)))+'Priorização de Entrada'!$B$6*(IF(I43="Crescendo",1,IF(I43="Estável",0.5,0))))</f>
        <v>58.3111188512082</v>
      </c>
      <c r="O43" s="8" t="n">
        <f aca="false">SUMPRODUCT(($N$2:$N$101&gt;N43)*1)+SUMPRODUCT(($N$2:N43=N43)*1)</f>
        <v>16</v>
      </c>
    </row>
    <row r="44" customFormat="false" ht="15" hidden="false" customHeight="false" outlineLevel="0" collapsed="false">
      <c r="A44" s="8" t="n">
        <v>43</v>
      </c>
      <c r="B44" s="8" t="s">
        <v>104</v>
      </c>
      <c r="C44" s="8" t="s">
        <v>105</v>
      </c>
      <c r="D44" s="8" t="s">
        <v>50</v>
      </c>
      <c r="E44" s="8" t="n">
        <v>9</v>
      </c>
      <c r="F44" s="15" t="n">
        <v>963400</v>
      </c>
      <c r="G44" s="16" t="n">
        <v>12700</v>
      </c>
      <c r="H44" s="14" t="n">
        <v>75.8582677165354</v>
      </c>
      <c r="I44" s="8" t="s">
        <v>60</v>
      </c>
      <c r="J44" s="17" t="n">
        <v>0.5669</v>
      </c>
      <c r="K44" s="8" t="n">
        <v>76</v>
      </c>
      <c r="L44" s="8" t="s">
        <v>52</v>
      </c>
      <c r="M44" s="8" t="n">
        <v>0</v>
      </c>
      <c r="N44" s="13" t="n">
        <f aca="false">100*('Priorização de Entrada'!$B$3*(H44/MAX(H$2:H$101))+'Priorização de Entrada'!$B$4*(1-K44/MAX(K$2:K$101))+'Priorização de Entrada'!$B$5*(IF(L44="Baixa",1,IF(L44="Média",0.5,0)))+'Priorização de Entrada'!$B$6*(IF(I44="Crescendo",1,IF(I44="Estável",0.5,0))))</f>
        <v>43.5879889809621</v>
      </c>
      <c r="O44" s="8" t="n">
        <f aca="false">SUMPRODUCT(($N$2:$N$101&gt;N44)*1)+SUMPRODUCT(($N$2:N44=N44)*1)</f>
        <v>54</v>
      </c>
    </row>
    <row r="45" customFormat="false" ht="15" hidden="false" customHeight="false" outlineLevel="0" collapsed="false">
      <c r="A45" s="8" t="n">
        <v>44</v>
      </c>
      <c r="B45" s="8" t="s">
        <v>106</v>
      </c>
      <c r="C45" s="8" t="s">
        <v>67</v>
      </c>
      <c r="D45" s="8" t="s">
        <v>50</v>
      </c>
      <c r="E45" s="8" t="n">
        <v>-1</v>
      </c>
      <c r="F45" s="15" t="n">
        <v>955900</v>
      </c>
      <c r="G45" s="16" t="n">
        <v>17300</v>
      </c>
      <c r="H45" s="14" t="n">
        <v>55.2543352601156</v>
      </c>
      <c r="I45" s="8" t="s">
        <v>62</v>
      </c>
      <c r="J45" s="17" t="n">
        <v>0.4545</v>
      </c>
      <c r="K45" s="8" t="n">
        <v>8</v>
      </c>
      <c r="L45" s="8" t="s">
        <v>52</v>
      </c>
      <c r="M45" s="8" t="n">
        <v>0</v>
      </c>
      <c r="N45" s="13" t="n">
        <f aca="false">100*('Priorização de Entrada'!$B$3*(H45/MAX(H$2:H$101))+'Priorização de Entrada'!$B$4*(1-K45/MAX(K$2:K$101))+'Priorização de Entrada'!$B$5*(IF(L45="Baixa",1,IF(L45="Média",0.5,0)))+'Priorização de Entrada'!$B$6*(IF(I45="Crescendo",1,IF(I45="Estável",0.5,0))))</f>
        <v>25.5735894996861</v>
      </c>
      <c r="O45" s="8" t="n">
        <f aca="false">SUMPRODUCT(($N$2:$N$101&gt;N45)*1)+SUMPRODUCT(($N$2:N45=N45)*1)</f>
        <v>89</v>
      </c>
    </row>
    <row r="46" customFormat="false" ht="15" hidden="false" customHeight="false" outlineLevel="0" collapsed="false">
      <c r="A46" s="8" t="n">
        <v>45</v>
      </c>
      <c r="B46" s="8" t="s">
        <v>107</v>
      </c>
      <c r="C46" s="8" t="s">
        <v>58</v>
      </c>
      <c r="D46" s="8" t="s">
        <v>50</v>
      </c>
      <c r="E46" s="8" t="n">
        <v>3</v>
      </c>
      <c r="F46" s="15" t="n">
        <v>862800</v>
      </c>
      <c r="G46" s="16" t="n">
        <v>6000</v>
      </c>
      <c r="H46" s="14" t="n">
        <v>143.8</v>
      </c>
      <c r="I46" s="8" t="s">
        <v>62</v>
      </c>
      <c r="J46" s="17" t="n">
        <v>0.7192</v>
      </c>
      <c r="K46" s="8" t="n">
        <v>109</v>
      </c>
      <c r="L46" s="8" t="s">
        <v>81</v>
      </c>
      <c r="M46" s="8" t="n">
        <v>0</v>
      </c>
      <c r="N46" s="13" t="n">
        <f aca="false">100*('Priorização de Entrada'!$B$3*(H46/MAX(H$2:H$101))+'Priorização de Entrada'!$B$4*(1-K46/MAX(K$2:K$101))+'Priorização de Entrada'!$B$5*(IF(L46="Baixa",1,IF(L46="Média",0.5,0)))+'Priorização de Entrada'!$B$6*(IF(I46="Crescendo",1,IF(I46="Estável",0.5,0))))</f>
        <v>43.5096904751226</v>
      </c>
      <c r="O46" s="8" t="n">
        <f aca="false">SUMPRODUCT(($N$2:$N$101&gt;N46)*1)+SUMPRODUCT(($N$2:N46=N46)*1)</f>
        <v>55</v>
      </c>
    </row>
    <row r="47" customFormat="false" ht="15" hidden="false" customHeight="false" outlineLevel="0" collapsed="false">
      <c r="A47" s="8" t="n">
        <v>46</v>
      </c>
      <c r="B47" s="8" t="s">
        <v>108</v>
      </c>
      <c r="C47" s="8" t="s">
        <v>67</v>
      </c>
      <c r="D47" s="8" t="s">
        <v>50</v>
      </c>
      <c r="E47" s="8" t="n">
        <v>-1</v>
      </c>
      <c r="F47" s="15" t="n">
        <v>849900</v>
      </c>
      <c r="G47" s="16" t="n">
        <v>14300</v>
      </c>
      <c r="H47" s="14" t="n">
        <v>59.4335664335664</v>
      </c>
      <c r="I47" s="8" t="s">
        <v>60</v>
      </c>
      <c r="J47" s="17" t="n">
        <v>0.5215</v>
      </c>
      <c r="K47" s="8" t="n">
        <v>6</v>
      </c>
      <c r="L47" s="8" t="s">
        <v>81</v>
      </c>
      <c r="M47" s="8" t="n">
        <v>0</v>
      </c>
      <c r="N47" s="13" t="n">
        <f aca="false">100*('Priorização de Entrada'!$B$3*(H47/MAX(H$2:H$101))+'Priorização de Entrada'!$B$4*(1-K47/MAX(K$2:K$101))+'Priorização de Entrada'!$B$5*(IF(L47="Baixa",1,IF(L47="Média",0.5,0)))+'Priorização de Entrada'!$B$6*(IF(I47="Crescendo",1,IF(I47="Estável",0.5,0))))</f>
        <v>65.7051025558739</v>
      </c>
      <c r="O47" s="8" t="n">
        <f aca="false">SUMPRODUCT(($N$2:$N$101&gt;N47)*1)+SUMPRODUCT(($N$2:N47=N47)*1)</f>
        <v>9</v>
      </c>
    </row>
    <row r="48" customFormat="false" ht="15" hidden="false" customHeight="false" outlineLevel="0" collapsed="false">
      <c r="A48" s="8" t="n">
        <v>47</v>
      </c>
      <c r="B48" s="8" t="s">
        <v>109</v>
      </c>
      <c r="C48" s="8" t="s">
        <v>110</v>
      </c>
      <c r="D48" s="8" t="s">
        <v>50</v>
      </c>
      <c r="E48" s="8" t="n">
        <v>14</v>
      </c>
      <c r="F48" s="15" t="n">
        <v>826800</v>
      </c>
      <c r="G48" s="16" t="n">
        <v>592</v>
      </c>
      <c r="H48" s="14" t="n">
        <v>1396.62162162162</v>
      </c>
      <c r="I48" s="8" t="s">
        <v>60</v>
      </c>
      <c r="J48" s="17" t="n">
        <v>0.6364</v>
      </c>
      <c r="K48" s="8" t="n">
        <v>36</v>
      </c>
      <c r="L48" s="8" t="s">
        <v>55</v>
      </c>
      <c r="M48" s="8" t="n">
        <v>0</v>
      </c>
      <c r="N48" s="13" t="n">
        <f aca="false">100*('Priorização de Entrada'!$B$3*(H48/MAX(H$2:H$101))+'Priorização de Entrada'!$B$4*(1-K48/MAX(K$2:K$101))+'Priorização de Entrada'!$B$5*(IF(L48="Baixa",1,IF(L48="Média",0.5,0)))+'Priorização de Entrada'!$B$6*(IF(I48="Crescendo",1,IF(I48="Estável",0.5,0))))</f>
        <v>75.1209809092793</v>
      </c>
      <c r="O48" s="8" t="n">
        <f aca="false">SUMPRODUCT(($N$2:$N$101&gt;N48)*1)+SUMPRODUCT(($N$2:N48=N48)*1)</f>
        <v>5</v>
      </c>
    </row>
    <row r="49" customFormat="false" ht="15" hidden="false" customHeight="false" outlineLevel="0" collapsed="false">
      <c r="A49" s="8" t="n">
        <v>48</v>
      </c>
      <c r="B49" s="8" t="s">
        <v>111</v>
      </c>
      <c r="C49" s="8" t="s">
        <v>49</v>
      </c>
      <c r="D49" s="8" t="s">
        <v>50</v>
      </c>
      <c r="E49" s="8" t="n">
        <v>2</v>
      </c>
      <c r="F49" s="15" t="n">
        <v>820400</v>
      </c>
      <c r="G49" s="16" t="n">
        <v>11800</v>
      </c>
      <c r="H49" s="14" t="n">
        <v>69.5254237288136</v>
      </c>
      <c r="I49" s="8" t="s">
        <v>60</v>
      </c>
      <c r="J49" s="17" t="n">
        <v>0.5895</v>
      </c>
      <c r="K49" s="8" t="n">
        <v>65</v>
      </c>
      <c r="L49" s="8" t="s">
        <v>52</v>
      </c>
      <c r="M49" s="8" t="n">
        <v>0</v>
      </c>
      <c r="N49" s="13" t="n">
        <f aca="false">100*('Priorização de Entrada'!$B$3*(H49/MAX(H$2:H$101))+'Priorização de Entrada'!$B$4*(1-K49/MAX(K$2:K$101))+'Priorização de Entrada'!$B$5*(IF(L49="Baixa",1,IF(L49="Média",0.5,0)))+'Priorização de Entrada'!$B$6*(IF(I49="Crescendo",1,IF(I49="Estável",0.5,0))))</f>
        <v>43.8633545799319</v>
      </c>
      <c r="O49" s="8" t="n">
        <f aca="false">SUMPRODUCT(($N$2:$N$101&gt;N49)*1)+SUMPRODUCT(($N$2:N49=N49)*1)</f>
        <v>53</v>
      </c>
    </row>
    <row r="50" customFormat="false" ht="15" hidden="false" customHeight="false" outlineLevel="0" collapsed="false">
      <c r="A50" s="8" t="n">
        <v>49</v>
      </c>
      <c r="B50" s="8" t="s">
        <v>112</v>
      </c>
      <c r="C50" s="8" t="s">
        <v>70</v>
      </c>
      <c r="D50" s="8" t="s">
        <v>50</v>
      </c>
      <c r="E50" s="8" t="n">
        <v>0</v>
      </c>
      <c r="F50" s="15" t="n">
        <v>806700</v>
      </c>
      <c r="G50" s="16" t="n">
        <v>2000</v>
      </c>
      <c r="H50" s="14" t="n">
        <v>403.35</v>
      </c>
      <c r="I50" s="8" t="s">
        <v>62</v>
      </c>
      <c r="J50" s="17" t="n">
        <v>0.6828</v>
      </c>
      <c r="K50" s="8" t="n">
        <v>87</v>
      </c>
      <c r="L50" s="8" t="s">
        <v>55</v>
      </c>
      <c r="M50" s="8" t="n">
        <v>0</v>
      </c>
      <c r="N50" s="13" t="n">
        <f aca="false">100*('Priorização de Entrada'!$B$3*(H50/MAX(H$2:H$101))+'Priorização de Entrada'!$B$4*(1-K50/MAX(K$2:K$101))+'Priorização de Entrada'!$B$5*(IF(L50="Baixa",1,IF(L50="Média",0.5,0)))+'Priorização de Entrada'!$B$6*(IF(I50="Crescendo",1,IF(I50="Estável",0.5,0))))</f>
        <v>38.2195781021131</v>
      </c>
      <c r="O50" s="8" t="n">
        <f aca="false">SUMPRODUCT(($N$2:$N$101&gt;N50)*1)+SUMPRODUCT(($N$2:N50=N50)*1)</f>
        <v>62</v>
      </c>
    </row>
    <row r="51" customFormat="false" ht="15" hidden="false" customHeight="false" outlineLevel="0" collapsed="false">
      <c r="A51" s="8" t="n">
        <v>50</v>
      </c>
      <c r="B51" s="8" t="s">
        <v>113</v>
      </c>
      <c r="C51" s="8" t="s">
        <v>110</v>
      </c>
      <c r="D51" s="8" t="s">
        <v>114</v>
      </c>
      <c r="E51" s="8" t="n">
        <v>7</v>
      </c>
      <c r="F51" s="15" t="n">
        <v>767600</v>
      </c>
      <c r="G51" s="16" t="n">
        <v>497</v>
      </c>
      <c r="H51" s="14" t="n">
        <v>1544.46680080483</v>
      </c>
      <c r="I51" s="8" t="s">
        <v>60</v>
      </c>
      <c r="J51" s="17" t="n">
        <v>0.7483</v>
      </c>
      <c r="K51" s="8" t="n">
        <v>52</v>
      </c>
      <c r="L51" s="8" t="s">
        <v>55</v>
      </c>
      <c r="M51" s="8" t="n">
        <v>0</v>
      </c>
      <c r="N51" s="13" t="n">
        <f aca="false">100*('Priorização de Entrada'!$B$3*(H51/MAX(H$2:H$101))+'Priorização de Entrada'!$B$4*(1-K51/MAX(K$2:K$101))+'Priorização de Entrada'!$B$5*(IF(L51="Baixa",1,IF(L51="Média",0.5,0)))+'Priorização de Entrada'!$B$6*(IF(I51="Crescendo",1,IF(I51="Estável",0.5,0))))</f>
        <v>76.8386207119905</v>
      </c>
      <c r="O51" s="8" t="n">
        <f aca="false">SUMPRODUCT(($N$2:$N$101&gt;N51)*1)+SUMPRODUCT(($N$2:N51=N51)*1)</f>
        <v>4</v>
      </c>
    </row>
    <row r="52" customFormat="false" ht="15" hidden="false" customHeight="false" outlineLevel="0" collapsed="false">
      <c r="A52" s="8" t="n">
        <v>51</v>
      </c>
      <c r="B52" s="8" t="s">
        <v>115</v>
      </c>
      <c r="C52" s="8" t="s">
        <v>67</v>
      </c>
      <c r="D52" s="8" t="s">
        <v>50</v>
      </c>
      <c r="E52" s="8" t="n">
        <v>-11</v>
      </c>
      <c r="F52" s="15" t="n">
        <v>762300</v>
      </c>
      <c r="G52" s="16" t="n">
        <v>8500</v>
      </c>
      <c r="H52" s="14" t="n">
        <v>89.6823529411765</v>
      </c>
      <c r="I52" s="8" t="s">
        <v>62</v>
      </c>
      <c r="J52" s="17" t="n">
        <v>0.5203</v>
      </c>
      <c r="K52" s="8" t="n">
        <v>51</v>
      </c>
      <c r="L52" s="8" t="s">
        <v>52</v>
      </c>
      <c r="M52" s="8" t="n">
        <v>0</v>
      </c>
      <c r="N52" s="13" t="n">
        <f aca="false">100*('Priorização de Entrada'!$B$3*(H52/MAX(H$2:H$101))+'Priorização de Entrada'!$B$4*(1-K52/MAX(K$2:K$101))+'Priorização de Entrada'!$B$5*(IF(L52="Baixa",1,IF(L52="Média",0.5,0)))+'Priorização de Entrada'!$B$6*(IF(I52="Crescendo",1,IF(I52="Estável",0.5,0))))</f>
        <v>24.6449432876089</v>
      </c>
      <c r="O52" s="8" t="n">
        <f aca="false">SUMPRODUCT(($N$2:$N$101&gt;N52)*1)+SUMPRODUCT(($N$2:N52=N52)*1)</f>
        <v>95</v>
      </c>
    </row>
    <row r="53" customFormat="false" ht="15" hidden="false" customHeight="false" outlineLevel="0" collapsed="false">
      <c r="A53" s="8" t="n">
        <v>52</v>
      </c>
      <c r="B53" s="8" t="s">
        <v>116</v>
      </c>
      <c r="C53" s="8" t="s">
        <v>67</v>
      </c>
      <c r="D53" s="8" t="s">
        <v>50</v>
      </c>
      <c r="E53" s="8" t="n">
        <v>-5</v>
      </c>
      <c r="F53" s="15" t="n">
        <v>747900</v>
      </c>
      <c r="G53" s="16" t="n">
        <v>1300</v>
      </c>
      <c r="H53" s="14" t="n">
        <v>575.307692307692</v>
      </c>
      <c r="I53" s="8" t="s">
        <v>60</v>
      </c>
      <c r="J53" s="17" t="n">
        <v>0.8462</v>
      </c>
      <c r="K53" s="8" t="n">
        <v>2</v>
      </c>
      <c r="L53" s="8" t="s">
        <v>52</v>
      </c>
      <c r="M53" s="8" t="n">
        <v>0</v>
      </c>
      <c r="N53" s="13" t="n">
        <f aca="false">100*('Priorização de Entrada'!$B$3*(H53/MAX(H$2:H$101))+'Priorização de Entrada'!$B$4*(1-K53/MAX(K$2:K$101))+'Priorização de Entrada'!$B$5*(IF(L53="Baixa",1,IF(L53="Média",0.5,0)))+'Priorização de Entrada'!$B$6*(IF(I53="Crescendo",1,IF(I53="Estável",0.5,0))))</f>
        <v>53.7224100269113</v>
      </c>
      <c r="O53" s="8" t="n">
        <f aca="false">SUMPRODUCT(($N$2:$N$101&gt;N53)*1)+SUMPRODUCT(($N$2:N53=N53)*1)</f>
        <v>28</v>
      </c>
    </row>
    <row r="54" customFormat="false" ht="15" hidden="false" customHeight="false" outlineLevel="0" collapsed="false">
      <c r="A54" s="8" t="n">
        <v>53</v>
      </c>
      <c r="B54" s="8" t="s">
        <v>117</v>
      </c>
      <c r="C54" s="8" t="s">
        <v>67</v>
      </c>
      <c r="D54" s="8" t="s">
        <v>50</v>
      </c>
      <c r="E54" s="8" t="n">
        <v>7</v>
      </c>
      <c r="F54" s="15" t="n">
        <v>739400</v>
      </c>
      <c r="G54" s="16" t="n">
        <v>4800</v>
      </c>
      <c r="H54" s="14" t="n">
        <v>154.041666666667</v>
      </c>
      <c r="I54" s="8" t="s">
        <v>60</v>
      </c>
      <c r="J54" s="17" t="n">
        <v>0.4286</v>
      </c>
      <c r="K54" s="8" t="n">
        <v>5</v>
      </c>
      <c r="L54" s="8" t="s">
        <v>52</v>
      </c>
      <c r="M54" s="8" t="n">
        <v>26</v>
      </c>
      <c r="N54" s="13" t="n">
        <f aca="false">100*('Priorização de Entrada'!$B$3*(H54/MAX(H$2:H$101))+'Priorização de Entrada'!$B$4*(1-K54/MAX(K$2:K$101))+'Priorização de Entrada'!$B$5*(IF(L54="Baixa",1,IF(L54="Média",0.5,0)))+'Priorização de Entrada'!$B$6*(IF(I54="Crescendo",1,IF(I54="Estável",0.5,0))))</f>
        <v>47.1844398113862</v>
      </c>
      <c r="O54" s="8" t="n">
        <f aca="false">SUMPRODUCT(($N$2:$N$101&gt;N54)*1)+SUMPRODUCT(($N$2:N54=N54)*1)</f>
        <v>37</v>
      </c>
    </row>
    <row r="55" customFormat="false" ht="15" hidden="false" customHeight="false" outlineLevel="0" collapsed="false">
      <c r="A55" s="8" t="n">
        <v>54</v>
      </c>
      <c r="B55" s="8" t="s">
        <v>118</v>
      </c>
      <c r="C55" s="8" t="s">
        <v>67</v>
      </c>
      <c r="D55" s="8" t="s">
        <v>50</v>
      </c>
      <c r="E55" s="8" t="n">
        <v>-1</v>
      </c>
      <c r="F55" s="15" t="n">
        <v>722100</v>
      </c>
      <c r="G55" s="16" t="n">
        <v>3600</v>
      </c>
      <c r="H55" s="14" t="n">
        <v>200.583333333333</v>
      </c>
      <c r="I55" s="8" t="s">
        <v>62</v>
      </c>
      <c r="J55" s="17" t="n">
        <v>0.6489</v>
      </c>
      <c r="K55" s="8" t="n">
        <v>31</v>
      </c>
      <c r="L55" s="8" t="s">
        <v>55</v>
      </c>
      <c r="M55" s="8" t="n">
        <v>0</v>
      </c>
      <c r="N55" s="13" t="n">
        <f aca="false">100*('Priorização de Entrada'!$B$3*(H55/MAX(H$2:H$101))+'Priorização de Entrada'!$B$4*(1-K55/MAX(K$2:K$101))+'Priorização de Entrada'!$B$5*(IF(L55="Baixa",1,IF(L55="Média",0.5,0)))+'Priorização de Entrada'!$B$6*(IF(I55="Crescendo",1,IF(I55="Estável",0.5,0))))</f>
        <v>37.0159783261481</v>
      </c>
      <c r="O55" s="8" t="n">
        <f aca="false">SUMPRODUCT(($N$2:$N$101&gt;N55)*1)+SUMPRODUCT(($N$2:N55=N55)*1)</f>
        <v>64</v>
      </c>
    </row>
    <row r="56" customFormat="false" ht="15" hidden="false" customHeight="false" outlineLevel="0" collapsed="false">
      <c r="A56" s="8" t="n">
        <v>55</v>
      </c>
      <c r="B56" s="8" t="s">
        <v>119</v>
      </c>
      <c r="C56" s="8" t="s">
        <v>49</v>
      </c>
      <c r="D56" s="8" t="s">
        <v>50</v>
      </c>
      <c r="E56" s="8" t="n">
        <v>-1</v>
      </c>
      <c r="F56" s="15" t="n">
        <v>709400</v>
      </c>
      <c r="G56" s="16" t="n">
        <v>12400</v>
      </c>
      <c r="H56" s="14" t="n">
        <v>57.2096774193548</v>
      </c>
      <c r="I56" s="8" t="s">
        <v>62</v>
      </c>
      <c r="J56" s="17" t="n">
        <v>0.6079</v>
      </c>
      <c r="K56" s="8" t="n">
        <v>240</v>
      </c>
      <c r="L56" s="8" t="s">
        <v>52</v>
      </c>
      <c r="M56" s="8" t="n">
        <v>0</v>
      </c>
      <c r="N56" s="13" t="n">
        <f aca="false">100*('Priorização de Entrada'!$B$3*(H56/MAX(H$2:H$101))+'Priorização de Entrada'!$B$4*(1-K56/MAX(K$2:K$101))+'Priorização de Entrada'!$B$5*(IF(L56="Baixa",1,IF(L56="Média",0.5,0)))+'Priorização de Entrada'!$B$6*(IF(I56="Crescendo",1,IF(I56="Estável",0.5,0))))</f>
        <v>17.7550211350783</v>
      </c>
      <c r="O56" s="8" t="n">
        <f aca="false">SUMPRODUCT(($N$2:$N$101&gt;N56)*1)+SUMPRODUCT(($N$2:N56=N56)*1)</f>
        <v>99</v>
      </c>
    </row>
    <row r="57" customFormat="false" ht="15" hidden="false" customHeight="false" outlineLevel="0" collapsed="false">
      <c r="A57" s="8" t="n">
        <v>56</v>
      </c>
      <c r="B57" s="8" t="s">
        <v>120</v>
      </c>
      <c r="C57" s="8" t="s">
        <v>58</v>
      </c>
      <c r="D57" s="8" t="s">
        <v>50</v>
      </c>
      <c r="E57" s="8" t="n">
        <v>-1</v>
      </c>
      <c r="F57" s="15" t="n">
        <v>663800</v>
      </c>
      <c r="G57" s="16" t="n">
        <v>2500</v>
      </c>
      <c r="H57" s="14" t="n">
        <v>265.52</v>
      </c>
      <c r="I57" s="8" t="s">
        <v>62</v>
      </c>
      <c r="J57" s="17" t="n">
        <v>0.6284</v>
      </c>
      <c r="K57" s="8" t="n">
        <v>54</v>
      </c>
      <c r="L57" s="8" t="s">
        <v>52</v>
      </c>
      <c r="M57" s="8" t="n">
        <v>0</v>
      </c>
      <c r="N57" s="13" t="n">
        <f aca="false">100*('Priorização de Entrada'!$B$3*(H57/MAX(H$2:H$101))+'Priorização de Entrada'!$B$4*(1-K57/MAX(K$2:K$101))+'Priorização de Entrada'!$B$5*(IF(L57="Baixa",1,IF(L57="Média",0.5,0)))+'Priorização de Entrada'!$B$6*(IF(I57="Crescendo",1,IF(I57="Estável",0.5,0))))</f>
        <v>27.2300607147897</v>
      </c>
      <c r="O57" s="8" t="n">
        <f aca="false">SUMPRODUCT(($N$2:$N$101&gt;N57)*1)+SUMPRODUCT(($N$2:N57=N57)*1)</f>
        <v>82</v>
      </c>
    </row>
    <row r="58" customFormat="false" ht="15" hidden="false" customHeight="false" outlineLevel="0" collapsed="false">
      <c r="A58" s="8" t="n">
        <v>57</v>
      </c>
      <c r="B58" s="8" t="s">
        <v>121</v>
      </c>
      <c r="C58" s="8" t="s">
        <v>58</v>
      </c>
      <c r="D58" s="8" t="s">
        <v>50</v>
      </c>
      <c r="E58" s="8" t="n">
        <v>-6</v>
      </c>
      <c r="F58" s="15" t="n">
        <v>630600</v>
      </c>
      <c r="G58" s="16" t="n">
        <v>1200</v>
      </c>
      <c r="H58" s="14" t="n">
        <v>525.5</v>
      </c>
      <c r="I58" s="8" t="s">
        <v>62</v>
      </c>
      <c r="J58" s="17" t="n">
        <v>0.7158</v>
      </c>
      <c r="K58" s="8" t="n">
        <v>79</v>
      </c>
      <c r="L58" s="8" t="s">
        <v>55</v>
      </c>
      <c r="M58" s="8" t="n">
        <v>0</v>
      </c>
      <c r="N58" s="13" t="n">
        <f aca="false">100*('Priorização de Entrada'!$B$3*(H58/MAX(H$2:H$101))+'Priorização de Entrada'!$B$4*(1-K58/MAX(K$2:K$101))+'Priorização de Entrada'!$B$5*(IF(L58="Baixa",1,IF(L58="Média",0.5,0)))+'Priorização de Entrada'!$B$6*(IF(I58="Crescendo",1,IF(I58="Estável",0.5,0))))</f>
        <v>40.3565318008233</v>
      </c>
      <c r="O58" s="8" t="n">
        <f aca="false">SUMPRODUCT(($N$2:$N$101&gt;N58)*1)+SUMPRODUCT(($N$2:N58=N58)*1)</f>
        <v>59</v>
      </c>
    </row>
    <row r="59" customFormat="false" ht="15" hidden="false" customHeight="false" outlineLevel="0" collapsed="false">
      <c r="A59" s="8" t="n">
        <v>58</v>
      </c>
      <c r="B59" s="8" t="s">
        <v>122</v>
      </c>
      <c r="C59" s="8" t="s">
        <v>70</v>
      </c>
      <c r="D59" s="8" t="s">
        <v>50</v>
      </c>
      <c r="E59" s="8" t="n">
        <v>6</v>
      </c>
      <c r="F59" s="15" t="n">
        <v>615700</v>
      </c>
      <c r="G59" s="16" t="n">
        <v>955</v>
      </c>
      <c r="H59" s="14" t="n">
        <v>644.712041884817</v>
      </c>
      <c r="I59" s="8" t="s">
        <v>60</v>
      </c>
      <c r="J59" s="17" t="n">
        <v>0.6653</v>
      </c>
      <c r="K59" s="8" t="n">
        <v>63</v>
      </c>
      <c r="L59" s="8" t="s">
        <v>55</v>
      </c>
      <c r="M59" s="8" t="n">
        <v>0</v>
      </c>
      <c r="N59" s="13" t="n">
        <f aca="false">100*('Priorização de Entrada'!$B$3*(H59/MAX(H$2:H$101))+'Priorização de Entrada'!$B$4*(1-K59/MAX(K$2:K$101))+'Priorização de Entrada'!$B$5*(IF(L59="Baixa",1,IF(L59="Média",0.5,0)))+'Priorização de Entrada'!$B$6*(IF(I59="Crescendo",1,IF(I59="Estável",0.5,0))))</f>
        <v>62.7192327242121</v>
      </c>
      <c r="O59" s="8" t="n">
        <f aca="false">SUMPRODUCT(($N$2:$N$101&gt;N59)*1)+SUMPRODUCT(($N$2:N59=N59)*1)</f>
        <v>14</v>
      </c>
    </row>
    <row r="60" customFormat="false" ht="15" hidden="false" customHeight="false" outlineLevel="0" collapsed="false">
      <c r="A60" s="8" t="n">
        <v>59</v>
      </c>
      <c r="B60" s="8" t="s">
        <v>123</v>
      </c>
      <c r="C60" s="8" t="s">
        <v>49</v>
      </c>
      <c r="D60" s="8" t="s">
        <v>50</v>
      </c>
      <c r="E60" s="8" t="n">
        <v>9</v>
      </c>
      <c r="F60" s="15" t="n">
        <v>602800</v>
      </c>
      <c r="G60" s="16" t="n">
        <v>3300</v>
      </c>
      <c r="H60" s="14" t="n">
        <v>182.666666666667</v>
      </c>
      <c r="I60" s="8" t="s">
        <v>60</v>
      </c>
      <c r="J60" s="17" t="n">
        <v>0.6229</v>
      </c>
      <c r="K60" s="8" t="n">
        <v>78</v>
      </c>
      <c r="L60" s="8" t="s">
        <v>81</v>
      </c>
      <c r="M60" s="8" t="n">
        <v>63</v>
      </c>
      <c r="N60" s="13" t="n">
        <f aca="false">100*('Priorização de Entrada'!$B$3*(H60/MAX(H$2:H$101))+'Priorização de Entrada'!$B$4*(1-K60/MAX(K$2:K$101))+'Priorização de Entrada'!$B$5*(IF(L60="Baixa",1,IF(L60="Média",0.5,0)))+'Priorização de Entrada'!$B$6*(IF(I60="Crescendo",1,IF(I60="Estável",0.5,0))))</f>
        <v>65.1522448894757</v>
      </c>
      <c r="O60" s="8" t="n">
        <f aca="false">SUMPRODUCT(($N$2:$N$101&gt;N60)*1)+SUMPRODUCT(($N$2:N60=N60)*1)</f>
        <v>11</v>
      </c>
    </row>
    <row r="61" customFormat="false" ht="15" hidden="false" customHeight="false" outlineLevel="0" collapsed="false">
      <c r="A61" s="8" t="n">
        <v>60</v>
      </c>
      <c r="B61" s="8" t="s">
        <v>124</v>
      </c>
      <c r="C61" s="8" t="s">
        <v>49</v>
      </c>
      <c r="D61" s="8" t="s">
        <v>50</v>
      </c>
      <c r="E61" s="8" t="n">
        <v>-2</v>
      </c>
      <c r="F61" s="15" t="n">
        <v>579700</v>
      </c>
      <c r="G61" s="16" t="n">
        <v>3700</v>
      </c>
      <c r="H61" s="14" t="n">
        <v>156.675675675676</v>
      </c>
      <c r="I61" s="8" t="s">
        <v>62</v>
      </c>
      <c r="J61" s="17" t="n">
        <v>0.6827</v>
      </c>
      <c r="K61" s="8" t="n">
        <v>45</v>
      </c>
      <c r="L61" s="8" t="s">
        <v>55</v>
      </c>
      <c r="M61" s="8" t="n">
        <v>0</v>
      </c>
      <c r="N61" s="13" t="n">
        <f aca="false">100*('Priorização de Entrada'!$B$3*(H61/MAX(H$2:H$101))+'Priorização de Entrada'!$B$4*(1-K61/MAX(K$2:K$101))+'Priorização de Entrada'!$B$5*(IF(L61="Baixa",1,IF(L61="Média",0.5,0)))+'Priorização de Entrada'!$B$6*(IF(I61="Crescendo",1,IF(I61="Estável",0.5,0))))</f>
        <v>35.8715046001881</v>
      </c>
      <c r="O61" s="8" t="n">
        <f aca="false">SUMPRODUCT(($N$2:$N$101&gt;N61)*1)+SUMPRODUCT(($N$2:N61=N61)*1)</f>
        <v>68</v>
      </c>
    </row>
    <row r="62" customFormat="false" ht="15" hidden="false" customHeight="false" outlineLevel="0" collapsed="false">
      <c r="A62" s="8" t="n">
        <v>61</v>
      </c>
      <c r="B62" s="8" t="s">
        <v>125</v>
      </c>
      <c r="C62" s="8" t="s">
        <v>67</v>
      </c>
      <c r="D62" s="8" t="s">
        <v>50</v>
      </c>
      <c r="E62" s="8" t="n">
        <v>-5</v>
      </c>
      <c r="F62" s="15" t="n">
        <v>549200</v>
      </c>
      <c r="G62" s="16" t="n">
        <v>7500</v>
      </c>
      <c r="H62" s="14" t="n">
        <v>73.2266666666667</v>
      </c>
      <c r="I62" s="8" t="s">
        <v>62</v>
      </c>
      <c r="J62" s="17" t="n">
        <v>0.424</v>
      </c>
      <c r="K62" s="8" t="n">
        <v>14</v>
      </c>
      <c r="L62" s="8" t="s">
        <v>55</v>
      </c>
      <c r="M62" s="8" t="n">
        <v>0</v>
      </c>
      <c r="N62" s="13" t="n">
        <f aca="false">100*('Priorização de Entrada'!$B$3*(H62/MAX(H$2:H$101))+'Priorização de Entrada'!$B$4*(1-K62/MAX(K$2:K$101))+'Priorização de Entrada'!$B$5*(IF(L62="Baixa",1,IF(L62="Média",0.5,0)))+'Priorização de Entrada'!$B$6*(IF(I62="Crescendo",1,IF(I62="Estável",0.5,0))))</f>
        <v>35.6452099682435</v>
      </c>
      <c r="O62" s="8" t="n">
        <f aca="false">SUMPRODUCT(($N$2:$N$101&gt;N62)*1)+SUMPRODUCT(($N$2:N62=N62)*1)</f>
        <v>70</v>
      </c>
    </row>
    <row r="63" customFormat="false" ht="15" hidden="false" customHeight="false" outlineLevel="0" collapsed="false">
      <c r="A63" s="8" t="n">
        <v>62</v>
      </c>
      <c r="B63" s="8" t="s">
        <v>126</v>
      </c>
      <c r="C63" s="8" t="s">
        <v>58</v>
      </c>
      <c r="D63" s="8" t="s">
        <v>50</v>
      </c>
      <c r="E63" s="8" t="n">
        <v>0</v>
      </c>
      <c r="F63" s="15" t="n">
        <v>541600</v>
      </c>
      <c r="G63" s="16" t="n">
        <v>963</v>
      </c>
      <c r="H63" s="14" t="n">
        <v>562.409138110073</v>
      </c>
      <c r="I63" s="8" t="s">
        <v>62</v>
      </c>
      <c r="J63" s="17" t="n">
        <v>0.7429</v>
      </c>
      <c r="K63" s="8" t="n">
        <v>54</v>
      </c>
      <c r="L63" s="8" t="s">
        <v>55</v>
      </c>
      <c r="M63" s="8" t="n">
        <v>0</v>
      </c>
      <c r="N63" s="13" t="n">
        <f aca="false">100*('Priorização de Entrada'!$B$3*(H63/MAX(H$2:H$101))+'Priorização de Entrada'!$B$4*(1-K63/MAX(K$2:K$101))+'Priorização de Entrada'!$B$5*(IF(L63="Baixa",1,IF(L63="Média",0.5,0)))+'Priorização de Entrada'!$B$6*(IF(I63="Crescendo",1,IF(I63="Estável",0.5,0))))</f>
        <v>41.7662003350649</v>
      </c>
      <c r="O63" s="8" t="n">
        <f aca="false">SUMPRODUCT(($N$2:$N$101&gt;N63)*1)+SUMPRODUCT(($N$2:N63=N63)*1)</f>
        <v>57</v>
      </c>
    </row>
    <row r="64" customFormat="false" ht="15" hidden="false" customHeight="false" outlineLevel="0" collapsed="false">
      <c r="A64" s="8" t="n">
        <v>63</v>
      </c>
      <c r="B64" s="8" t="s">
        <v>127</v>
      </c>
      <c r="C64" s="8" t="s">
        <v>54</v>
      </c>
      <c r="D64" s="8" t="s">
        <v>50</v>
      </c>
      <c r="E64" s="8" t="n">
        <v>0</v>
      </c>
      <c r="F64" s="15" t="n">
        <v>505300</v>
      </c>
      <c r="G64" s="16" t="n">
        <v>1900</v>
      </c>
      <c r="H64" s="14" t="n">
        <v>265.947368421053</v>
      </c>
      <c r="I64" s="8" t="s">
        <v>60</v>
      </c>
      <c r="J64" s="17" t="n">
        <v>0.7238</v>
      </c>
      <c r="K64" s="8" t="n">
        <v>100</v>
      </c>
      <c r="L64" s="8" t="s">
        <v>55</v>
      </c>
      <c r="M64" s="8" t="n">
        <v>0</v>
      </c>
      <c r="N64" s="13" t="n">
        <f aca="false">100*('Priorização de Entrada'!$B$3*(H64/MAX(H$2:H$101))+'Priorização de Entrada'!$B$4*(1-K64/MAX(K$2:K$101))+'Priorização de Entrada'!$B$5*(IF(L64="Baixa",1,IF(L64="Média",0.5,0)))+'Priorização de Entrada'!$B$6*(IF(I64="Crescendo",1,IF(I64="Estável",0.5,0))))</f>
        <v>55.6804334655231</v>
      </c>
      <c r="O64" s="8" t="n">
        <f aca="false">SUMPRODUCT(($N$2:$N$101&gt;N64)*1)+SUMPRODUCT(($N$2:N64=N64)*1)</f>
        <v>21</v>
      </c>
    </row>
    <row r="65" customFormat="false" ht="15" hidden="false" customHeight="false" outlineLevel="0" collapsed="false">
      <c r="A65" s="8" t="n">
        <v>64</v>
      </c>
      <c r="B65" s="8" t="s">
        <v>128</v>
      </c>
      <c r="C65" s="8" t="s">
        <v>58</v>
      </c>
      <c r="D65" s="8" t="s">
        <v>50</v>
      </c>
      <c r="E65" s="8" t="n">
        <v>6</v>
      </c>
      <c r="F65" s="15" t="n">
        <v>500900</v>
      </c>
      <c r="G65" s="16" t="n">
        <v>1000</v>
      </c>
      <c r="H65" s="14" t="n">
        <v>500.9</v>
      </c>
      <c r="I65" s="8" t="s">
        <v>51</v>
      </c>
      <c r="J65" s="17" t="n">
        <v>0.7762</v>
      </c>
      <c r="K65" s="8" t="n">
        <v>63</v>
      </c>
      <c r="L65" s="8" t="s">
        <v>55</v>
      </c>
      <c r="M65" s="8" t="n">
        <v>0</v>
      </c>
      <c r="N65" s="13" t="n">
        <f aca="false">100*('Priorização de Entrada'!$B$3*(H65/MAX(H$2:H$101))+'Priorização de Entrada'!$B$4*(1-K65/MAX(K$2:K$101))+'Priorização de Entrada'!$B$5*(IF(L65="Baixa",1,IF(L65="Média",0.5,0)))+'Priorização de Entrada'!$B$6*(IF(I65="Crescendo",1,IF(I65="Estável",0.5,0))))</f>
        <v>50.5219428360771</v>
      </c>
      <c r="O65" s="8" t="n">
        <f aca="false">SUMPRODUCT(($N$2:$N$101&gt;N65)*1)+SUMPRODUCT(($N$2:N65=N65)*1)</f>
        <v>34</v>
      </c>
    </row>
    <row r="66" customFormat="false" ht="15" hidden="false" customHeight="false" outlineLevel="0" collapsed="false">
      <c r="A66" s="8" t="n">
        <v>65</v>
      </c>
      <c r="B66" s="8" t="s">
        <v>129</v>
      </c>
      <c r="C66" s="8" t="s">
        <v>49</v>
      </c>
      <c r="D66" s="8" t="s">
        <v>50</v>
      </c>
      <c r="E66" s="8" t="n">
        <v>2</v>
      </c>
      <c r="F66" s="15" t="n">
        <v>494000</v>
      </c>
      <c r="G66" s="16" t="n">
        <v>11100</v>
      </c>
      <c r="H66" s="14" t="n">
        <v>44.5045045045045</v>
      </c>
      <c r="I66" s="8" t="s">
        <v>62</v>
      </c>
      <c r="J66" s="17" t="n">
        <v>0.5706</v>
      </c>
      <c r="K66" s="8" t="n">
        <v>23</v>
      </c>
      <c r="L66" s="8" t="s">
        <v>52</v>
      </c>
      <c r="M66" s="8" t="n">
        <v>31</v>
      </c>
      <c r="N66" s="13" t="n">
        <f aca="false">100*('Priorização de Entrada'!$B$3*(H66/MAX(H$2:H$101))+'Priorização de Entrada'!$B$4*(1-K66/MAX(K$2:K$101))+'Priorização de Entrada'!$B$5*(IF(L66="Baixa",1,IF(L66="Média",0.5,0)))+'Priorização de Entrada'!$B$6*(IF(I66="Crescendo",1,IF(I66="Estável",0.5,0))))</f>
        <v>24.9019014146199</v>
      </c>
      <c r="O66" s="8" t="n">
        <f aca="false">SUMPRODUCT(($N$2:$N$101&gt;N66)*1)+SUMPRODUCT(($N$2:N66=N66)*1)</f>
        <v>92</v>
      </c>
    </row>
    <row r="67" customFormat="false" ht="15" hidden="false" customHeight="false" outlineLevel="0" collapsed="false">
      <c r="A67" s="8" t="n">
        <v>66</v>
      </c>
      <c r="B67" s="8" t="s">
        <v>130</v>
      </c>
      <c r="C67" s="8" t="s">
        <v>131</v>
      </c>
      <c r="D67" s="8" t="s">
        <v>50</v>
      </c>
      <c r="E67" s="8" t="n">
        <v>10</v>
      </c>
      <c r="F67" s="15" t="n">
        <v>471300</v>
      </c>
      <c r="G67" s="16" t="n">
        <v>8200</v>
      </c>
      <c r="H67" s="14" t="n">
        <v>57.4756097560976</v>
      </c>
      <c r="I67" s="8" t="s">
        <v>60</v>
      </c>
      <c r="J67" s="17" t="n">
        <v>0.6627</v>
      </c>
      <c r="K67" s="8" t="n">
        <v>70</v>
      </c>
      <c r="L67" s="8" t="s">
        <v>81</v>
      </c>
      <c r="M67" s="8" t="n">
        <v>0</v>
      </c>
      <c r="N67" s="13" t="n">
        <f aca="false">100*('Priorização de Entrada'!$B$3*(H67/MAX(H$2:H$101))+'Priorização de Entrada'!$B$4*(1-K67/MAX(K$2:K$101))+'Priorização de Entrada'!$B$5*(IF(L67="Baixa",1,IF(L67="Média",0.5,0)))+'Priorização de Entrada'!$B$6*(IF(I67="Crescendo",1,IF(I67="Estável",0.5,0))))</f>
        <v>63.5100991737883</v>
      </c>
      <c r="O67" s="8" t="n">
        <f aca="false">SUMPRODUCT(($N$2:$N$101&gt;N67)*1)+SUMPRODUCT(($N$2:N67=N67)*1)</f>
        <v>13</v>
      </c>
    </row>
    <row r="68" customFormat="false" ht="15" hidden="false" customHeight="false" outlineLevel="0" collapsed="false">
      <c r="A68" s="8" t="n">
        <v>67</v>
      </c>
      <c r="B68" s="8" t="s">
        <v>132</v>
      </c>
      <c r="C68" s="8" t="s">
        <v>58</v>
      </c>
      <c r="D68" s="8" t="s">
        <v>50</v>
      </c>
      <c r="E68" s="8" t="n">
        <v>-1</v>
      </c>
      <c r="F68" s="15" t="n">
        <v>444600</v>
      </c>
      <c r="G68" s="16" t="n">
        <v>2300</v>
      </c>
      <c r="H68" s="14" t="n">
        <v>193.304347826087</v>
      </c>
      <c r="I68" s="8" t="s">
        <v>60</v>
      </c>
      <c r="J68" s="17" t="n">
        <v>0.6234</v>
      </c>
      <c r="K68" s="8" t="n">
        <v>77</v>
      </c>
      <c r="L68" s="8" t="s">
        <v>81</v>
      </c>
      <c r="M68" s="8" t="n">
        <v>0</v>
      </c>
      <c r="N68" s="13" t="n">
        <f aca="false">100*('Priorização de Entrada'!$B$3*(H68/MAX(H$2:H$101))+'Priorização de Entrada'!$B$4*(1-K68/MAX(K$2:K$101))+'Priorização de Entrada'!$B$5*(IF(L68="Baixa",1,IF(L68="Média",0.5,0)))+'Priorização de Entrada'!$B$6*(IF(I68="Crescendo",1,IF(I68="Estável",0.5,0))))</f>
        <v>65.3486064614855</v>
      </c>
      <c r="O68" s="8" t="n">
        <f aca="false">SUMPRODUCT(($N$2:$N$101&gt;N68)*1)+SUMPRODUCT(($N$2:N68=N68)*1)</f>
        <v>10</v>
      </c>
    </row>
    <row r="69" customFormat="false" ht="15" hidden="false" customHeight="false" outlineLevel="0" collapsed="false">
      <c r="A69" s="8" t="n">
        <v>68</v>
      </c>
      <c r="B69" s="8" t="s">
        <v>133</v>
      </c>
      <c r="C69" s="8" t="s">
        <v>58</v>
      </c>
      <c r="D69" s="8" t="s">
        <v>50</v>
      </c>
      <c r="E69" s="8" t="n">
        <v>4</v>
      </c>
      <c r="F69" s="15" t="n">
        <v>440500</v>
      </c>
      <c r="G69" s="16" t="n">
        <v>2100</v>
      </c>
      <c r="H69" s="14" t="n">
        <v>209.761904761905</v>
      </c>
      <c r="I69" s="8" t="s">
        <v>60</v>
      </c>
      <c r="J69" s="17" t="n">
        <v>0.6425</v>
      </c>
      <c r="K69" s="8" t="n">
        <v>70</v>
      </c>
      <c r="L69" s="8" t="s">
        <v>52</v>
      </c>
      <c r="M69" s="8" t="n">
        <v>0</v>
      </c>
      <c r="N69" s="13" t="n">
        <f aca="false">100*('Priorização de Entrada'!$B$3*(H69/MAX(H$2:H$101))+'Priorização de Entrada'!$B$4*(1-K69/MAX(K$2:K$101))+'Priorização de Entrada'!$B$5*(IF(L69="Baixa",1,IF(L69="Média",0.5,0)))+'Priorização de Entrada'!$B$6*(IF(I69="Crescendo",1,IF(I69="Estável",0.5,0))))</f>
        <v>45.8368663327291</v>
      </c>
      <c r="O69" s="8" t="n">
        <f aca="false">SUMPRODUCT(($N$2:$N$101&gt;N69)*1)+SUMPRODUCT(($N$2:N69=N69)*1)</f>
        <v>43</v>
      </c>
    </row>
    <row r="70" customFormat="false" ht="15" hidden="false" customHeight="false" outlineLevel="0" collapsed="false">
      <c r="A70" s="8" t="n">
        <v>69</v>
      </c>
      <c r="B70" s="8" t="s">
        <v>134</v>
      </c>
      <c r="C70" s="8" t="s">
        <v>58</v>
      </c>
      <c r="D70" s="8" t="s">
        <v>50</v>
      </c>
      <c r="E70" s="8" t="n">
        <v>-25</v>
      </c>
      <c r="F70" s="15" t="n">
        <v>436600</v>
      </c>
      <c r="G70" s="16" t="n">
        <v>768</v>
      </c>
      <c r="H70" s="14" t="n">
        <v>568.489583333333</v>
      </c>
      <c r="I70" s="8" t="s">
        <v>62</v>
      </c>
      <c r="J70" s="17" t="n">
        <v>0.75</v>
      </c>
      <c r="K70" s="8" t="n">
        <v>4</v>
      </c>
      <c r="L70" s="8" t="s">
        <v>52</v>
      </c>
      <c r="M70" s="8" t="n">
        <v>0</v>
      </c>
      <c r="N70" s="13" t="n">
        <f aca="false">100*('Priorização de Entrada'!$B$3*(H70/MAX(H$2:H$101))+'Priorização de Entrada'!$B$4*(1-K70/MAX(K$2:K$101))+'Priorização de Entrada'!$B$5*(IF(L70="Baixa",1,IF(L70="Média",0.5,0)))+'Priorização de Entrada'!$B$6*(IF(I70="Crescendo",1,IF(I70="Estável",0.5,0))))</f>
        <v>33.5505778191979</v>
      </c>
      <c r="O70" s="8" t="n">
        <f aca="false">SUMPRODUCT(($N$2:$N$101&gt;N70)*1)+SUMPRODUCT(($N$2:N70=N70)*1)</f>
        <v>74</v>
      </c>
    </row>
    <row r="71" customFormat="false" ht="15" hidden="false" customHeight="false" outlineLevel="0" collapsed="false">
      <c r="A71" s="8" t="n">
        <v>70</v>
      </c>
      <c r="B71" s="8" t="s">
        <v>135</v>
      </c>
      <c r="C71" s="8" t="s">
        <v>54</v>
      </c>
      <c r="D71" s="8" t="s">
        <v>50</v>
      </c>
      <c r="E71" s="8" t="n">
        <v>-1</v>
      </c>
      <c r="F71" s="15" t="n">
        <v>426900</v>
      </c>
      <c r="G71" s="16" t="n">
        <v>2000</v>
      </c>
      <c r="H71" s="14" t="n">
        <v>213.45</v>
      </c>
      <c r="I71" s="8" t="s">
        <v>62</v>
      </c>
      <c r="J71" s="17" t="n">
        <v>0.6425</v>
      </c>
      <c r="K71" s="8" t="n">
        <v>53</v>
      </c>
      <c r="L71" s="8" t="s">
        <v>55</v>
      </c>
      <c r="M71" s="8" t="n">
        <v>0</v>
      </c>
      <c r="N71" s="13" t="n">
        <f aca="false">100*('Priorização de Entrada'!$B$3*(H71/MAX(H$2:H$101))+'Priorização de Entrada'!$B$4*(1-K71/MAX(K$2:K$101))+'Priorização de Entrada'!$B$5*(IF(L71="Baixa",1,IF(L71="Média",0.5,0)))+'Priorização de Entrada'!$B$6*(IF(I71="Crescendo",1,IF(I71="Estável",0.5,0))))</f>
        <v>36.4683178616475</v>
      </c>
      <c r="O71" s="8" t="n">
        <f aca="false">SUMPRODUCT(($N$2:$N$101&gt;N71)*1)+SUMPRODUCT(($N$2:N71=N71)*1)</f>
        <v>67</v>
      </c>
    </row>
    <row r="72" customFormat="false" ht="15" hidden="false" customHeight="false" outlineLevel="0" collapsed="false">
      <c r="A72" s="8" t="n">
        <v>71</v>
      </c>
      <c r="B72" s="8" t="s">
        <v>136</v>
      </c>
      <c r="C72" s="8" t="s">
        <v>54</v>
      </c>
      <c r="D72" s="8" t="s">
        <v>50</v>
      </c>
      <c r="E72" s="8" t="n">
        <v>10</v>
      </c>
      <c r="F72" s="15" t="n">
        <v>424400</v>
      </c>
      <c r="G72" s="16" t="n">
        <v>1100</v>
      </c>
      <c r="H72" s="14" t="n">
        <v>385.818181818182</v>
      </c>
      <c r="I72" s="8" t="s">
        <v>60</v>
      </c>
      <c r="J72" s="17" t="n">
        <v>0.7066</v>
      </c>
      <c r="K72" s="8" t="n">
        <v>62</v>
      </c>
      <c r="L72" s="8" t="s">
        <v>81</v>
      </c>
      <c r="M72" s="8" t="n">
        <v>0</v>
      </c>
      <c r="N72" s="13" t="n">
        <f aca="false">100*('Priorização de Entrada'!$B$3*(H72/MAX(H$2:H$101))+'Priorização de Entrada'!$B$4*(1-K72/MAX(K$2:K$101))+'Priorização de Entrada'!$B$5*(IF(L72="Baixa",1,IF(L72="Média",0.5,0)))+'Priorização de Entrada'!$B$6*(IF(I72="Crescendo",1,IF(I72="Estável",0.5,0))))</f>
        <v>68.7974486784592</v>
      </c>
      <c r="O72" s="8" t="n">
        <f aca="false">SUMPRODUCT(($N$2:$N$101&gt;N72)*1)+SUMPRODUCT(($N$2:N72=N72)*1)</f>
        <v>6</v>
      </c>
    </row>
    <row r="73" customFormat="false" ht="15" hidden="false" customHeight="false" outlineLevel="0" collapsed="false">
      <c r="A73" s="8" t="n">
        <v>72</v>
      </c>
      <c r="B73" s="8" t="s">
        <v>137</v>
      </c>
      <c r="C73" s="8" t="s">
        <v>67</v>
      </c>
      <c r="D73" s="8" t="s">
        <v>50</v>
      </c>
      <c r="E73" s="8" t="n">
        <v>7</v>
      </c>
      <c r="F73" s="15" t="n">
        <v>411000</v>
      </c>
      <c r="G73" s="16" t="n">
        <v>2300</v>
      </c>
      <c r="H73" s="14" t="n">
        <v>178.695652173913</v>
      </c>
      <c r="I73" s="8" t="s">
        <v>60</v>
      </c>
      <c r="J73" s="17" t="n">
        <v>0.5849</v>
      </c>
      <c r="K73" s="8" t="n">
        <v>35</v>
      </c>
      <c r="L73" s="8" t="s">
        <v>55</v>
      </c>
      <c r="M73" s="8" t="n">
        <v>0</v>
      </c>
      <c r="N73" s="13" t="n">
        <f aca="false">100*('Priorização de Entrada'!$B$3*(H73/MAX(H$2:H$101))+'Priorização de Entrada'!$B$4*(1-K73/MAX(K$2:K$101))+'Priorização de Entrada'!$B$5*(IF(L73="Baixa",1,IF(L73="Média",0.5,0)))+'Priorização de Entrada'!$B$6*(IF(I73="Crescendo",1,IF(I73="Estável",0.5,0))))</f>
        <v>56.5462406248019</v>
      </c>
      <c r="O73" s="8" t="n">
        <f aca="false">SUMPRODUCT(($N$2:$N$101&gt;N73)*1)+SUMPRODUCT(($N$2:N73=N73)*1)</f>
        <v>19</v>
      </c>
    </row>
    <row r="74" customFormat="false" ht="15" hidden="false" customHeight="false" outlineLevel="0" collapsed="false">
      <c r="A74" s="8" t="n">
        <v>73</v>
      </c>
      <c r="B74" s="8" t="s">
        <v>138</v>
      </c>
      <c r="C74" s="8" t="s">
        <v>58</v>
      </c>
      <c r="D74" s="8" t="s">
        <v>50</v>
      </c>
      <c r="E74" s="8" t="n">
        <v>2</v>
      </c>
      <c r="F74" s="15" t="n">
        <v>396400</v>
      </c>
      <c r="G74" s="16" t="n">
        <v>1700</v>
      </c>
      <c r="H74" s="14" t="n">
        <v>233.176470588235</v>
      </c>
      <c r="I74" s="8" t="s">
        <v>60</v>
      </c>
      <c r="J74" s="17" t="n">
        <v>0.5472</v>
      </c>
      <c r="K74" s="8" t="n">
        <v>84</v>
      </c>
      <c r="L74" s="8" t="s">
        <v>55</v>
      </c>
      <c r="M74" s="8" t="n">
        <v>0</v>
      </c>
      <c r="N74" s="13" t="n">
        <f aca="false">100*('Priorização de Entrada'!$B$3*(H74/MAX(H$2:H$101))+'Priorização de Entrada'!$B$4*(1-K74/MAX(K$2:K$101))+'Priorização de Entrada'!$B$5*(IF(L74="Baixa",1,IF(L74="Média",0.5,0)))+'Priorização de Entrada'!$B$6*(IF(I74="Crescendo",1,IF(I74="Estável",0.5,0))))</f>
        <v>55.7210021652553</v>
      </c>
      <c r="O74" s="8" t="n">
        <f aca="false">SUMPRODUCT(($N$2:$N$101&gt;N74)*1)+SUMPRODUCT(($N$2:N74=N74)*1)</f>
        <v>20</v>
      </c>
    </row>
    <row r="75" customFormat="false" ht="15" hidden="false" customHeight="false" outlineLevel="0" collapsed="false">
      <c r="A75" s="8" t="n">
        <v>74</v>
      </c>
      <c r="B75" s="8" t="s">
        <v>139</v>
      </c>
      <c r="C75" s="8" t="s">
        <v>110</v>
      </c>
      <c r="D75" s="8" t="s">
        <v>114</v>
      </c>
      <c r="E75" s="8" t="n">
        <v>4</v>
      </c>
      <c r="F75" s="15" t="n">
        <v>380600</v>
      </c>
      <c r="G75" s="16" t="n">
        <v>213</v>
      </c>
      <c r="H75" s="14" t="n">
        <v>1786.8544600939</v>
      </c>
      <c r="I75" s="8" t="s">
        <v>60</v>
      </c>
      <c r="J75" s="17" t="n">
        <v>0.7377</v>
      </c>
      <c r="K75" s="8" t="n">
        <v>28</v>
      </c>
      <c r="L75" s="8" t="s">
        <v>81</v>
      </c>
      <c r="M75" s="8" t="n">
        <v>11</v>
      </c>
      <c r="N75" s="13" t="n">
        <f aca="false">100*('Priorização de Entrada'!$B$3*(H75/MAX(H$2:H$101))+'Priorização de Entrada'!$B$4*(1-K75/MAX(K$2:K$101))+'Priorização de Entrada'!$B$5*(IF(L75="Baixa",1,IF(L75="Média",0.5,0)))+'Priorização de Entrada'!$B$6*(IF(I75="Crescendo",1,IF(I75="Estável",0.5,0))))</f>
        <v>91.3539456404277</v>
      </c>
      <c r="O75" s="8" t="n">
        <f aca="false">SUMPRODUCT(($N$2:$N$101&gt;N75)*1)+SUMPRODUCT(($N$2:N75=N75)*1)</f>
        <v>3</v>
      </c>
    </row>
    <row r="76" customFormat="false" ht="15" hidden="false" customHeight="false" outlineLevel="0" collapsed="false">
      <c r="A76" s="8" t="n">
        <v>75</v>
      </c>
      <c r="B76" s="8" t="s">
        <v>140</v>
      </c>
      <c r="C76" s="8" t="s">
        <v>110</v>
      </c>
      <c r="D76" s="8" t="s">
        <v>50</v>
      </c>
      <c r="E76" s="8" t="n">
        <v>11</v>
      </c>
      <c r="F76" s="15" t="n">
        <v>371100</v>
      </c>
      <c r="G76" s="16" t="n">
        <v>162</v>
      </c>
      <c r="H76" s="14" t="n">
        <v>2290.74074074074</v>
      </c>
      <c r="I76" s="8" t="s">
        <v>60</v>
      </c>
      <c r="J76" s="17" t="n">
        <v>0.7324</v>
      </c>
      <c r="K76" s="8" t="n">
        <v>33</v>
      </c>
      <c r="L76" s="8" t="s">
        <v>81</v>
      </c>
      <c r="M76" s="8" t="n">
        <v>0</v>
      </c>
      <c r="N76" s="13" t="n">
        <f aca="false">100*('Priorização de Entrada'!$B$3*(H76/MAX(H$2:H$101))+'Priorização de Entrada'!$B$4*(1-K76/MAX(K$2:K$101))+'Priorização de Entrada'!$B$5*(IF(L76="Baixa",1,IF(L76="Média",0.5,0)))+'Priorização de Entrada'!$B$6*(IF(I76="Crescendo",1,IF(I76="Estável",0.5,0))))</f>
        <v>98.8836265223275</v>
      </c>
      <c r="O76" s="8" t="n">
        <f aca="false">SUMPRODUCT(($N$2:$N$101&gt;N76)*1)+SUMPRODUCT(($N$2:N76=N76)*1)</f>
        <v>1</v>
      </c>
    </row>
    <row r="77" customFormat="false" ht="15" hidden="false" customHeight="false" outlineLevel="0" collapsed="false">
      <c r="A77" s="8" t="n">
        <v>76</v>
      </c>
      <c r="B77" s="8" t="s">
        <v>141</v>
      </c>
      <c r="C77" s="8" t="s">
        <v>58</v>
      </c>
      <c r="D77" s="8" t="s">
        <v>50</v>
      </c>
      <c r="E77" s="8" t="n">
        <v>-5</v>
      </c>
      <c r="F77" s="15" t="n">
        <v>364800</v>
      </c>
      <c r="G77" s="16" t="n">
        <v>1700</v>
      </c>
      <c r="H77" s="14" t="n">
        <v>214.588235294118</v>
      </c>
      <c r="I77" s="8" t="s">
        <v>62</v>
      </c>
      <c r="J77" s="17" t="n">
        <v>0.7025</v>
      </c>
      <c r="K77" s="8" t="n">
        <v>46</v>
      </c>
      <c r="L77" s="8" t="s">
        <v>52</v>
      </c>
      <c r="M77" s="8" t="n">
        <v>0</v>
      </c>
      <c r="N77" s="13" t="n">
        <f aca="false">100*('Priorização de Entrada'!$B$3*(H77/MAX(H$2:H$101))+'Priorização de Entrada'!$B$4*(1-K77/MAX(K$2:K$101))+'Priorização de Entrada'!$B$5*(IF(L77="Baixa",1,IF(L77="Média",0.5,0)))+'Priorização de Entrada'!$B$6*(IF(I77="Crescendo",1,IF(I77="Estável",0.5,0))))</f>
        <v>26.7225153407907</v>
      </c>
      <c r="O77" s="8" t="n">
        <f aca="false">SUMPRODUCT(($N$2:$N$101&gt;N77)*1)+SUMPRODUCT(($N$2:N77=N77)*1)</f>
        <v>85</v>
      </c>
    </row>
    <row r="78" customFormat="false" ht="15" hidden="false" customHeight="false" outlineLevel="0" collapsed="false">
      <c r="A78" s="8" t="n">
        <v>77</v>
      </c>
      <c r="B78" s="8" t="s">
        <v>142</v>
      </c>
      <c r="C78" s="8" t="s">
        <v>67</v>
      </c>
      <c r="D78" s="8" t="s">
        <v>50</v>
      </c>
      <c r="E78" s="8" t="n">
        <v>-3</v>
      </c>
      <c r="F78" s="15" t="n">
        <v>364700</v>
      </c>
      <c r="G78" s="16" t="n">
        <v>2800</v>
      </c>
      <c r="H78" s="14" t="n">
        <v>130.25</v>
      </c>
      <c r="I78" s="8" t="s">
        <v>62</v>
      </c>
      <c r="J78" s="17" t="n">
        <v>0.1579</v>
      </c>
      <c r="K78" s="8" t="n">
        <v>2</v>
      </c>
      <c r="L78" s="8" t="s">
        <v>52</v>
      </c>
      <c r="M78" s="8" t="n">
        <v>0</v>
      </c>
      <c r="N78" s="13" t="n">
        <f aca="false">100*('Priorização de Entrada'!$B$3*(H78/MAX(H$2:H$101))+'Priorização de Entrada'!$B$4*(1-K78/MAX(K$2:K$101))+'Priorização de Entrada'!$B$5*(IF(L78="Baixa",1,IF(L78="Média",0.5,0)))+'Priorização de Entrada'!$B$6*(IF(I78="Crescendo",1,IF(I78="Estável",0.5,0))))</f>
        <v>26.9224178000597</v>
      </c>
      <c r="O78" s="8" t="n">
        <f aca="false">SUMPRODUCT(($N$2:$N$101&gt;N78)*1)+SUMPRODUCT(($N$2:N78=N78)*1)</f>
        <v>83</v>
      </c>
    </row>
    <row r="79" customFormat="false" ht="15" hidden="false" customHeight="false" outlineLevel="0" collapsed="false">
      <c r="A79" s="8" t="n">
        <v>78</v>
      </c>
      <c r="B79" s="8" t="s">
        <v>143</v>
      </c>
      <c r="C79" s="8" t="s">
        <v>54</v>
      </c>
      <c r="D79" s="8" t="s">
        <v>50</v>
      </c>
      <c r="E79" s="8" t="n">
        <v>7</v>
      </c>
      <c r="F79" s="15" t="n">
        <v>361500</v>
      </c>
      <c r="G79" s="16" t="n">
        <v>2200</v>
      </c>
      <c r="H79" s="14" t="n">
        <v>164.318181818182</v>
      </c>
      <c r="I79" s="8" t="s">
        <v>60</v>
      </c>
      <c r="J79" s="17" t="n">
        <v>0.7273</v>
      </c>
      <c r="K79" s="8" t="n">
        <v>84</v>
      </c>
      <c r="L79" s="8" t="s">
        <v>52</v>
      </c>
      <c r="M79" s="8" t="n">
        <v>0</v>
      </c>
      <c r="N79" s="13" t="n">
        <f aca="false">100*('Priorização de Entrada'!$B$3*(H79/MAX(H$2:H$101))+'Priorização de Entrada'!$B$4*(1-K79/MAX(K$2:K$101))+'Priorização de Entrada'!$B$5*(IF(L79="Baixa",1,IF(L79="Média",0.5,0)))+'Priorização de Entrada'!$B$6*(IF(I79="Crescendo",1,IF(I79="Estável",0.5,0))))</f>
        <v>44.6689232180006</v>
      </c>
      <c r="O79" s="8" t="n">
        <f aca="false">SUMPRODUCT(($N$2:$N$101&gt;N79)*1)+SUMPRODUCT(($N$2:N79=N79)*1)</f>
        <v>49</v>
      </c>
    </row>
    <row r="80" customFormat="false" ht="15" hidden="false" customHeight="false" outlineLevel="0" collapsed="false">
      <c r="A80" s="8" t="n">
        <v>79</v>
      </c>
      <c r="B80" s="8" t="s">
        <v>144</v>
      </c>
      <c r="C80" s="8" t="s">
        <v>67</v>
      </c>
      <c r="D80" s="8" t="s">
        <v>50</v>
      </c>
      <c r="E80" s="8" t="n">
        <v>9</v>
      </c>
      <c r="F80" s="15" t="n">
        <v>346400</v>
      </c>
      <c r="G80" s="16" t="n">
        <v>4500</v>
      </c>
      <c r="H80" s="14" t="n">
        <v>76.9777777777778</v>
      </c>
      <c r="I80" s="8" t="s">
        <v>60</v>
      </c>
      <c r="J80" s="17" t="n">
        <v>0.5082</v>
      </c>
      <c r="K80" s="8" t="n">
        <v>37</v>
      </c>
      <c r="L80" s="8" t="s">
        <v>52</v>
      </c>
      <c r="M80" s="8" t="n">
        <v>0</v>
      </c>
      <c r="N80" s="13" t="n">
        <f aca="false">100*('Priorização de Entrada'!$B$3*(H80/MAX(H$2:H$101))+'Priorização de Entrada'!$B$4*(1-K80/MAX(K$2:K$101))+'Priorização de Entrada'!$B$5*(IF(L80="Baixa",1,IF(L80="Média",0.5,0)))+'Priorização de Entrada'!$B$6*(IF(I80="Crescendo",1,IF(I80="Estável",0.5,0))))</f>
        <v>44.9244443374833</v>
      </c>
      <c r="O80" s="8" t="n">
        <f aca="false">SUMPRODUCT(($N$2:$N$101&gt;N80)*1)+SUMPRODUCT(($N$2:N80=N80)*1)</f>
        <v>45</v>
      </c>
    </row>
    <row r="81" customFormat="false" ht="15" hidden="false" customHeight="false" outlineLevel="0" collapsed="false">
      <c r="A81" s="8" t="n">
        <v>80</v>
      </c>
      <c r="B81" s="8" t="s">
        <v>145</v>
      </c>
      <c r="C81" s="8" t="s">
        <v>49</v>
      </c>
      <c r="D81" s="8" t="s">
        <v>50</v>
      </c>
      <c r="E81" s="8" t="n">
        <v>26</v>
      </c>
      <c r="F81" s="15" t="n">
        <v>343100</v>
      </c>
      <c r="G81" s="16" t="n">
        <v>4600</v>
      </c>
      <c r="H81" s="14" t="n">
        <v>74.5869565217391</v>
      </c>
      <c r="I81" s="8" t="s">
        <v>60</v>
      </c>
      <c r="J81" s="17" t="n">
        <v>0.0588</v>
      </c>
      <c r="K81" s="8" t="n">
        <v>2</v>
      </c>
      <c r="L81" s="8" t="s">
        <v>52</v>
      </c>
      <c r="M81" s="8" t="n">
        <v>0</v>
      </c>
      <c r="N81" s="13" t="n">
        <f aca="false">100*('Priorização de Entrada'!$B$3*(H81/MAX(H$2:H$101))+'Priorização de Entrada'!$B$4*(1-K81/MAX(K$2:K$101))+'Priorização de Entrada'!$B$5*(IF(L81="Baixa",1,IF(L81="Média",0.5,0)))+'Priorização de Entrada'!$B$6*(IF(I81="Crescendo",1,IF(I81="Estável",0.5,0))))</f>
        <v>46.0719476935608</v>
      </c>
      <c r="O81" s="8" t="n">
        <f aca="false">SUMPRODUCT(($N$2:$N$101&gt;N81)*1)+SUMPRODUCT(($N$2:N81=N81)*1)</f>
        <v>41</v>
      </c>
    </row>
    <row r="82" customFormat="false" ht="15" hidden="false" customHeight="false" outlineLevel="0" collapsed="false">
      <c r="A82" s="8" t="n">
        <v>81</v>
      </c>
      <c r="B82" s="8" t="s">
        <v>146</v>
      </c>
      <c r="C82" s="8" t="s">
        <v>58</v>
      </c>
      <c r="D82" s="8" t="s">
        <v>50</v>
      </c>
      <c r="E82" s="8" t="n">
        <v>6</v>
      </c>
      <c r="F82" s="15" t="n">
        <v>327700</v>
      </c>
      <c r="G82" s="16" t="n">
        <v>5000</v>
      </c>
      <c r="H82" s="14" t="n">
        <v>65.54</v>
      </c>
      <c r="I82" s="8" t="s">
        <v>51</v>
      </c>
      <c r="J82" s="17" t="n">
        <v>0.5862</v>
      </c>
      <c r="K82" s="8" t="n">
        <v>50</v>
      </c>
      <c r="L82" s="8" t="s">
        <v>55</v>
      </c>
      <c r="M82" s="8" t="n">
        <v>0</v>
      </c>
      <c r="N82" s="13" t="n">
        <f aca="false">100*('Priorização de Entrada'!$B$3*(H82/MAX(H$2:H$101))+'Priorização de Entrada'!$B$4*(1-K82/MAX(K$2:K$101))+'Priorização de Entrada'!$B$5*(IF(L82="Baixa",1,IF(L82="Média",0.5,0)))+'Priorização de Entrada'!$B$6*(IF(I82="Crescendo",1,IF(I82="Estável",0.5,0))))</f>
        <v>44.3099041769176</v>
      </c>
      <c r="O82" s="8" t="n">
        <f aca="false">SUMPRODUCT(($N$2:$N$101&gt;N82)*1)+SUMPRODUCT(($N$2:N82=N82)*1)</f>
        <v>52</v>
      </c>
    </row>
    <row r="83" customFormat="false" ht="15" hidden="false" customHeight="false" outlineLevel="0" collapsed="false">
      <c r="A83" s="8" t="n">
        <v>82</v>
      </c>
      <c r="B83" s="8" t="s">
        <v>147</v>
      </c>
      <c r="C83" s="8" t="s">
        <v>67</v>
      </c>
      <c r="D83" s="8" t="s">
        <v>50</v>
      </c>
      <c r="E83" s="8" t="n">
        <v>18</v>
      </c>
      <c r="F83" s="15" t="n">
        <v>319700</v>
      </c>
      <c r="G83" s="16" t="n">
        <v>3700</v>
      </c>
      <c r="H83" s="14" t="n">
        <v>86.4054054054054</v>
      </c>
      <c r="I83" s="8" t="s">
        <v>60</v>
      </c>
      <c r="J83" s="17" t="n">
        <v>0</v>
      </c>
      <c r="K83" s="8" t="n">
        <v>4</v>
      </c>
      <c r="L83" s="8" t="s">
        <v>52</v>
      </c>
      <c r="M83" s="8" t="n">
        <v>0</v>
      </c>
      <c r="N83" s="13" t="n">
        <f aca="false">100*('Priorização de Entrada'!$B$3*(H83/MAX(H$2:H$101))+'Priorização de Entrada'!$B$4*(1-K83/MAX(K$2:K$101))+'Priorização de Entrada'!$B$5*(IF(L83="Baixa",1,IF(L83="Média",0.5,0)))+'Priorização de Entrada'!$B$6*(IF(I83="Crescendo",1,IF(I83="Estável",0.5,0))))</f>
        <v>46.1848616002506</v>
      </c>
      <c r="O83" s="8" t="n">
        <f aca="false">SUMPRODUCT(($N$2:$N$101&gt;N83)*1)+SUMPRODUCT(($N$2:N83=N83)*1)</f>
        <v>40</v>
      </c>
    </row>
    <row r="84" customFormat="false" ht="15" hidden="false" customHeight="false" outlineLevel="0" collapsed="false">
      <c r="A84" s="8" t="n">
        <v>83</v>
      </c>
      <c r="B84" s="8" t="s">
        <v>148</v>
      </c>
      <c r="C84" s="8" t="s">
        <v>54</v>
      </c>
      <c r="D84" s="8" t="s">
        <v>50</v>
      </c>
      <c r="E84" s="8" t="n">
        <v>-18</v>
      </c>
      <c r="F84" s="15" t="n">
        <v>315100</v>
      </c>
      <c r="G84" s="16" t="n">
        <v>1800</v>
      </c>
      <c r="H84" s="14" t="n">
        <v>175.055555555556</v>
      </c>
      <c r="I84" s="8" t="s">
        <v>62</v>
      </c>
      <c r="J84" s="17" t="n">
        <v>0.7222</v>
      </c>
      <c r="K84" s="8" t="n">
        <v>39</v>
      </c>
      <c r="L84" s="8" t="s">
        <v>52</v>
      </c>
      <c r="M84" s="8" t="n">
        <v>0</v>
      </c>
      <c r="N84" s="13" t="n">
        <f aca="false">100*('Priorização de Entrada'!$B$3*(H84/MAX(H$2:H$101))+'Priorização de Entrada'!$B$4*(1-K84/MAX(K$2:K$101))+'Priorização de Entrada'!$B$5*(IF(L84="Baixa",1,IF(L84="Média",0.5,0)))+'Priorização de Entrada'!$B$6*(IF(I84="Crescendo",1,IF(I84="Estável",0.5,0))))</f>
        <v>26.3553059532261</v>
      </c>
      <c r="O84" s="8" t="n">
        <f aca="false">SUMPRODUCT(($N$2:$N$101&gt;N84)*1)+SUMPRODUCT(($N$2:N84=N84)*1)</f>
        <v>87</v>
      </c>
    </row>
    <row r="85" customFormat="false" ht="15" hidden="false" customHeight="false" outlineLevel="0" collapsed="false">
      <c r="A85" s="8" t="n">
        <v>84</v>
      </c>
      <c r="B85" s="8" t="s">
        <v>149</v>
      </c>
      <c r="C85" s="8" t="s">
        <v>67</v>
      </c>
      <c r="D85" s="8" t="s">
        <v>50</v>
      </c>
      <c r="E85" s="8" t="n">
        <v>15</v>
      </c>
      <c r="F85" s="15" t="n">
        <v>302700</v>
      </c>
      <c r="G85" s="16" t="n">
        <v>2100</v>
      </c>
      <c r="H85" s="14" t="n">
        <v>144.142857142857</v>
      </c>
      <c r="I85" s="8" t="s">
        <v>62</v>
      </c>
      <c r="J85" s="17" t="n">
        <v>0.9375</v>
      </c>
      <c r="K85" s="8" t="n">
        <v>13</v>
      </c>
      <c r="L85" s="8" t="s">
        <v>52</v>
      </c>
      <c r="M85" s="8" t="n">
        <v>0</v>
      </c>
      <c r="N85" s="13" t="n">
        <f aca="false">100*('Priorização de Entrada'!$B$3*(H85/MAX(H$2:H$101))+'Priorização de Entrada'!$B$4*(1-K85/MAX(K$2:K$101))+'Priorização de Entrada'!$B$5*(IF(L85="Baixa",1,IF(L85="Média",0.5,0)))+'Priorização de Entrada'!$B$6*(IF(I85="Crescendo",1,IF(I85="Estável",0.5,0))))</f>
        <v>26.762560890364</v>
      </c>
      <c r="O85" s="8" t="n">
        <f aca="false">SUMPRODUCT(($N$2:$N$101&gt;N85)*1)+SUMPRODUCT(($N$2:N85=N85)*1)</f>
        <v>84</v>
      </c>
    </row>
    <row r="86" customFormat="false" ht="15" hidden="false" customHeight="false" outlineLevel="0" collapsed="false">
      <c r="A86" s="8" t="n">
        <v>85</v>
      </c>
      <c r="B86" s="8" t="s">
        <v>150</v>
      </c>
      <c r="C86" s="8" t="s">
        <v>58</v>
      </c>
      <c r="D86" s="8" t="s">
        <v>50</v>
      </c>
      <c r="E86" s="8" t="n">
        <v>-2</v>
      </c>
      <c r="F86" s="15" t="n">
        <v>302400</v>
      </c>
      <c r="G86" s="16" t="n">
        <v>1600</v>
      </c>
      <c r="H86" s="14" t="n">
        <v>189</v>
      </c>
      <c r="I86" s="8" t="s">
        <v>62</v>
      </c>
      <c r="J86" s="17" t="n">
        <v>0.719</v>
      </c>
      <c r="K86" s="8" t="n">
        <v>90</v>
      </c>
      <c r="L86" s="8" t="s">
        <v>52</v>
      </c>
      <c r="M86" s="8" t="n">
        <v>0</v>
      </c>
      <c r="N86" s="13" t="n">
        <f aca="false">100*('Priorização de Entrada'!$B$3*(H86/MAX(H$2:H$101))+'Priorização de Entrada'!$B$4*(1-K86/MAX(K$2:K$101))+'Priorização de Entrada'!$B$5*(IF(L86="Baixa",1,IF(L86="Média",0.5,0)))+'Priorização de Entrada'!$B$6*(IF(I86="Crescendo",1,IF(I86="Estável",0.5,0))))</f>
        <v>24.8430572678454</v>
      </c>
      <c r="O86" s="8" t="n">
        <f aca="false">SUMPRODUCT(($N$2:$N$101&gt;N86)*1)+SUMPRODUCT(($N$2:N86=N86)*1)</f>
        <v>93</v>
      </c>
    </row>
    <row r="87" customFormat="false" ht="15" hidden="false" customHeight="false" outlineLevel="0" collapsed="false">
      <c r="A87" s="8" t="n">
        <v>86</v>
      </c>
      <c r="B87" s="8" t="s">
        <v>151</v>
      </c>
      <c r="C87" s="8" t="s">
        <v>58</v>
      </c>
      <c r="D87" s="8" t="s">
        <v>50</v>
      </c>
      <c r="E87" s="8" t="n">
        <v>-9</v>
      </c>
      <c r="F87" s="15" t="n">
        <v>301700</v>
      </c>
      <c r="G87" s="16" t="n">
        <v>992</v>
      </c>
      <c r="H87" s="14" t="n">
        <v>304.133064516129</v>
      </c>
      <c r="I87" s="8" t="s">
        <v>62</v>
      </c>
      <c r="J87" s="17" t="n">
        <v>0.6643</v>
      </c>
      <c r="K87" s="8" t="n">
        <v>55</v>
      </c>
      <c r="L87" s="8" t="s">
        <v>52</v>
      </c>
      <c r="M87" s="8" t="n">
        <v>0</v>
      </c>
      <c r="N87" s="13" t="n">
        <f aca="false">100*('Priorização de Entrada'!$B$3*(H87/MAX(H$2:H$101))+'Priorização de Entrada'!$B$4*(1-K87/MAX(K$2:K$101))+'Priorização de Entrada'!$B$5*(IF(L87="Baixa",1,IF(L87="Média",0.5,0)))+'Priorização de Entrada'!$B$6*(IF(I87="Crescendo",1,IF(I87="Estável",0.5,0))))</f>
        <v>27.7861963887523</v>
      </c>
      <c r="O87" s="8" t="n">
        <f aca="false">SUMPRODUCT(($N$2:$N$101&gt;N87)*1)+SUMPRODUCT(($N$2:N87=N87)*1)</f>
        <v>80</v>
      </c>
    </row>
    <row r="88" customFormat="false" ht="15" hidden="false" customHeight="false" outlineLevel="0" collapsed="false">
      <c r="A88" s="8" t="n">
        <v>87</v>
      </c>
      <c r="B88" s="8" t="s">
        <v>152</v>
      </c>
      <c r="C88" s="8" t="s">
        <v>110</v>
      </c>
      <c r="D88" s="8" t="s">
        <v>114</v>
      </c>
      <c r="E88" s="8" t="n">
        <v>-7</v>
      </c>
      <c r="F88" s="15" t="n">
        <v>300500</v>
      </c>
      <c r="G88" s="16" t="n">
        <v>152</v>
      </c>
      <c r="H88" s="14" t="n">
        <v>1976.97368421053</v>
      </c>
      <c r="I88" s="8" t="s">
        <v>60</v>
      </c>
      <c r="J88" s="17" t="n">
        <v>0.7123</v>
      </c>
      <c r="K88" s="8" t="n">
        <v>29</v>
      </c>
      <c r="L88" s="8" t="s">
        <v>81</v>
      </c>
      <c r="M88" s="8" t="n">
        <v>0</v>
      </c>
      <c r="N88" s="13" t="n">
        <f aca="false">100*('Priorização de Entrada'!$B$3*(H88/MAX(H$2:H$101))+'Priorização de Entrada'!$B$4*(1-K88/MAX(K$2:K$101))+'Priorização de Entrada'!$B$5*(IF(L88="Baixa",1,IF(L88="Média",0.5,0)))+'Priorização de Entrada'!$B$6*(IF(I88="Crescendo",1,IF(I88="Estável",0.5,0))))</f>
        <v>94.2249288620455</v>
      </c>
      <c r="O88" s="8" t="n">
        <f aca="false">SUMPRODUCT(($N$2:$N$101&gt;N88)*1)+SUMPRODUCT(($N$2:N88=N88)*1)</f>
        <v>2</v>
      </c>
    </row>
    <row r="89" customFormat="false" ht="15" hidden="false" customHeight="false" outlineLevel="0" collapsed="false">
      <c r="A89" s="8" t="n">
        <v>88</v>
      </c>
      <c r="B89" s="8" t="s">
        <v>153</v>
      </c>
      <c r="C89" s="8" t="s">
        <v>67</v>
      </c>
      <c r="D89" s="8" t="s">
        <v>50</v>
      </c>
      <c r="E89" s="8" t="n">
        <v>-6</v>
      </c>
      <c r="F89" s="15" t="n">
        <v>288600</v>
      </c>
      <c r="G89" s="16" t="n">
        <v>1300</v>
      </c>
      <c r="H89" s="14" t="n">
        <v>222</v>
      </c>
      <c r="I89" s="8" t="s">
        <v>62</v>
      </c>
      <c r="J89" s="17" t="n">
        <v>0.6218</v>
      </c>
      <c r="K89" s="8" t="n">
        <v>22</v>
      </c>
      <c r="L89" s="8" t="s">
        <v>55</v>
      </c>
      <c r="M89" s="8" t="n">
        <v>0</v>
      </c>
      <c r="N89" s="13" t="n">
        <f aca="false">100*('Priorização de Entrada'!$B$3*(H89/MAX(H$2:H$101))+'Priorização de Entrada'!$B$4*(1-K89/MAX(K$2:K$101))+'Priorização de Entrada'!$B$5*(IF(L89="Baixa",1,IF(L89="Média",0.5,0)))+'Priorização de Entrada'!$B$6*(IF(I89="Crescendo",1,IF(I89="Estável",0.5,0))))</f>
        <v>37.6476669405115</v>
      </c>
      <c r="O89" s="8" t="n">
        <f aca="false">SUMPRODUCT(($N$2:$N$101&gt;N89)*1)+SUMPRODUCT(($N$2:N89=N89)*1)</f>
        <v>63</v>
      </c>
    </row>
    <row r="90" customFormat="false" ht="15" hidden="false" customHeight="false" outlineLevel="0" collapsed="false">
      <c r="A90" s="8" t="n">
        <v>89</v>
      </c>
      <c r="B90" s="8" t="s">
        <v>154</v>
      </c>
      <c r="C90" s="8" t="s">
        <v>58</v>
      </c>
      <c r="D90" s="8" t="s">
        <v>50</v>
      </c>
      <c r="E90" s="8" t="n">
        <v>2</v>
      </c>
      <c r="F90" s="15" t="n">
        <v>282200</v>
      </c>
      <c r="G90" s="16" t="n">
        <v>875</v>
      </c>
      <c r="H90" s="14" t="n">
        <v>322.514285714286</v>
      </c>
      <c r="I90" s="8" t="s">
        <v>60</v>
      </c>
      <c r="J90" s="17" t="n">
        <v>0.7136</v>
      </c>
      <c r="K90" s="8" t="n">
        <v>58</v>
      </c>
      <c r="L90" s="8" t="s">
        <v>55</v>
      </c>
      <c r="M90" s="8" t="n">
        <v>0</v>
      </c>
      <c r="N90" s="13" t="n">
        <f aca="false">100*('Priorização de Entrada'!$B$3*(H90/MAX(H$2:H$101))+'Priorização de Entrada'!$B$4*(1-K90/MAX(K$2:K$101))+'Priorização de Entrada'!$B$5*(IF(L90="Baixa",1,IF(L90="Média",0.5,0)))+'Priorização de Entrada'!$B$6*(IF(I90="Crescendo",1,IF(I90="Estável",0.5,0))))</f>
        <v>57.9655527417483</v>
      </c>
      <c r="O90" s="8" t="n">
        <f aca="false">SUMPRODUCT(($N$2:$N$101&gt;N90)*1)+SUMPRODUCT(($N$2:N90=N90)*1)</f>
        <v>17</v>
      </c>
    </row>
    <row r="91" customFormat="false" ht="15" hidden="false" customHeight="false" outlineLevel="0" collapsed="false">
      <c r="A91" s="8" t="n">
        <v>90</v>
      </c>
      <c r="B91" s="8" t="s">
        <v>155</v>
      </c>
      <c r="C91" s="8" t="s">
        <v>58</v>
      </c>
      <c r="D91" s="8" t="s">
        <v>50</v>
      </c>
      <c r="E91" s="8" t="n">
        <v>0</v>
      </c>
      <c r="F91" s="15" t="n">
        <v>274800</v>
      </c>
      <c r="G91" s="16" t="n">
        <v>409</v>
      </c>
      <c r="H91" s="14" t="n">
        <v>671.882640586797</v>
      </c>
      <c r="I91" s="8" t="s">
        <v>60</v>
      </c>
      <c r="J91" s="17" t="n">
        <v>0.6547</v>
      </c>
      <c r="K91" s="8" t="n">
        <v>45</v>
      </c>
      <c r="L91" s="8" t="s">
        <v>55</v>
      </c>
      <c r="M91" s="8" t="n">
        <v>0</v>
      </c>
      <c r="N91" s="13" t="n">
        <f aca="false">100*('Priorização de Entrada'!$B$3*(H91/MAX(H$2:H$101))+'Priorização de Entrada'!$B$4*(1-K91/MAX(K$2:K$101))+'Priorização de Entrada'!$B$5*(IF(L91="Baixa",1,IF(L91="Média",0.5,0)))+'Priorização de Entrada'!$B$6*(IF(I91="Crescendo",1,IF(I91="Estável",0.5,0))))</f>
        <v>63.7433005879166</v>
      </c>
      <c r="O91" s="8" t="n">
        <f aca="false">SUMPRODUCT(($N$2:$N$101&gt;N91)*1)+SUMPRODUCT(($N$2:N91=N91)*1)</f>
        <v>12</v>
      </c>
    </row>
    <row r="92" customFormat="false" ht="15" hidden="false" customHeight="false" outlineLevel="0" collapsed="false">
      <c r="A92" s="8" t="n">
        <v>91</v>
      </c>
      <c r="B92" s="8" t="s">
        <v>156</v>
      </c>
      <c r="C92" s="8" t="s">
        <v>58</v>
      </c>
      <c r="D92" s="8" t="s">
        <v>50</v>
      </c>
      <c r="E92" s="8" t="n">
        <v>-7</v>
      </c>
      <c r="F92" s="15" t="n">
        <v>271200</v>
      </c>
      <c r="G92" s="16" t="n">
        <v>412</v>
      </c>
      <c r="H92" s="14" t="n">
        <v>658.252427184466</v>
      </c>
      <c r="I92" s="8" t="s">
        <v>62</v>
      </c>
      <c r="J92" s="17" t="n">
        <v>0.7015</v>
      </c>
      <c r="K92" s="8" t="n">
        <v>32</v>
      </c>
      <c r="L92" s="8" t="s">
        <v>52</v>
      </c>
      <c r="M92" s="8" t="n">
        <v>0</v>
      </c>
      <c r="N92" s="13" t="n">
        <f aca="false">100*('Priorização de Entrada'!$B$3*(H92/MAX(H$2:H$101))+'Priorização de Entrada'!$B$4*(1-K92/MAX(K$2:K$101))+'Priorização de Entrada'!$B$5*(IF(L92="Baixa",1,IF(L92="Média",0.5,0)))+'Priorização de Entrada'!$B$6*(IF(I92="Crescendo",1,IF(I92="Estável",0.5,0))))</f>
        <v>33.9748294038549</v>
      </c>
      <c r="O92" s="8" t="n">
        <f aca="false">SUMPRODUCT(($N$2:$N$101&gt;N92)*1)+SUMPRODUCT(($N$2:N92=N92)*1)</f>
        <v>72</v>
      </c>
    </row>
    <row r="93" customFormat="false" ht="15" hidden="false" customHeight="false" outlineLevel="0" collapsed="false">
      <c r="A93" s="8" t="n">
        <v>92</v>
      </c>
      <c r="B93" s="8" t="s">
        <v>157</v>
      </c>
      <c r="C93" s="8" t="s">
        <v>58</v>
      </c>
      <c r="D93" s="8" t="s">
        <v>50</v>
      </c>
      <c r="E93" s="8" t="n">
        <v>-33</v>
      </c>
      <c r="F93" s="15" t="n">
        <v>264700</v>
      </c>
      <c r="G93" s="16" t="n">
        <v>336</v>
      </c>
      <c r="H93" s="14" t="n">
        <v>787.797619047619</v>
      </c>
      <c r="I93" s="8" t="s">
        <v>62</v>
      </c>
      <c r="J93" s="17" t="n">
        <v>0.4737</v>
      </c>
      <c r="K93" s="8" t="n">
        <v>4</v>
      </c>
      <c r="L93" s="8" t="s">
        <v>52</v>
      </c>
      <c r="M93" s="8" t="n">
        <v>39</v>
      </c>
      <c r="N93" s="13" t="n">
        <f aca="false">100*('Priorização de Entrada'!$B$3*(H93/MAX(H$2:H$101))+'Priorização de Entrada'!$B$4*(1-K93/MAX(K$2:K$101))+'Priorização de Entrada'!$B$5*(IF(L93="Baixa",1,IF(L93="Média",0.5,0)))+'Priorização de Entrada'!$B$6*(IF(I93="Crescendo",1,IF(I93="Estável",0.5,0))))</f>
        <v>36.901363490176</v>
      </c>
      <c r="O93" s="8" t="n">
        <f aca="false">SUMPRODUCT(($N$2:$N$101&gt;N93)*1)+SUMPRODUCT(($N$2:N93=N93)*1)</f>
        <v>66</v>
      </c>
    </row>
    <row r="94" customFormat="false" ht="15" hidden="false" customHeight="false" outlineLevel="0" collapsed="false">
      <c r="A94" s="8" t="n">
        <v>93</v>
      </c>
      <c r="B94" s="8" t="s">
        <v>158</v>
      </c>
      <c r="C94" s="8" t="s">
        <v>67</v>
      </c>
      <c r="D94" s="8" t="s">
        <v>50</v>
      </c>
      <c r="E94" s="8" t="n">
        <v>-20</v>
      </c>
      <c r="F94" s="15" t="n">
        <v>263600</v>
      </c>
      <c r="G94" s="16" t="n">
        <v>1400</v>
      </c>
      <c r="H94" s="14" t="n">
        <v>188.285714285714</v>
      </c>
      <c r="I94" s="8" t="s">
        <v>62</v>
      </c>
      <c r="J94" s="17" t="n">
        <v>0.4231</v>
      </c>
      <c r="K94" s="8" t="n">
        <v>8</v>
      </c>
      <c r="L94" s="8" t="s">
        <v>52</v>
      </c>
      <c r="M94" s="8" t="n">
        <v>0</v>
      </c>
      <c r="N94" s="13" t="n">
        <f aca="false">100*('Priorização de Entrada'!$B$3*(H94/MAX(H$2:H$101))+'Priorização de Entrada'!$B$4*(1-K94/MAX(K$2:K$101))+'Priorização de Entrada'!$B$5*(IF(L94="Baixa",1,IF(L94="Média",0.5,0)))+'Priorização de Entrada'!$B$6*(IF(I94="Crescendo",1,IF(I94="Estável",0.5,0))))</f>
        <v>27.6061627119608</v>
      </c>
      <c r="O94" s="8" t="n">
        <f aca="false">SUMPRODUCT(($N$2:$N$101&gt;N94)*1)+SUMPRODUCT(($N$2:N94=N94)*1)</f>
        <v>81</v>
      </c>
    </row>
    <row r="95" customFormat="false" ht="15" hidden="false" customHeight="false" outlineLevel="0" collapsed="false">
      <c r="A95" s="8" t="n">
        <v>94</v>
      </c>
      <c r="B95" s="8" t="s">
        <v>159</v>
      </c>
      <c r="C95" s="8" t="s">
        <v>58</v>
      </c>
      <c r="D95" s="8" t="s">
        <v>50</v>
      </c>
      <c r="E95" s="8" t="n">
        <v>9</v>
      </c>
      <c r="F95" s="15" t="n">
        <v>255000</v>
      </c>
      <c r="G95" s="16" t="n">
        <v>3100</v>
      </c>
      <c r="H95" s="14" t="n">
        <v>82.258064516129</v>
      </c>
      <c r="I95" s="8" t="s">
        <v>60</v>
      </c>
      <c r="J95" s="17" t="n">
        <v>0.4819</v>
      </c>
      <c r="K95" s="8" t="n">
        <v>43</v>
      </c>
      <c r="L95" s="8" t="s">
        <v>52</v>
      </c>
      <c r="M95" s="8" t="n">
        <v>0</v>
      </c>
      <c r="N95" s="13" t="n">
        <f aca="false">100*('Priorização de Entrada'!$B$3*(H95/MAX(H$2:H$101))+'Priorização de Entrada'!$B$4*(1-K95/MAX(K$2:K$101))+'Priorização de Entrada'!$B$5*(IF(L95="Baixa",1,IF(L95="Média",0.5,0)))+'Priorização de Entrada'!$B$6*(IF(I95="Crescendo",1,IF(I95="Estável",0.5,0))))</f>
        <v>44.8021443175775</v>
      </c>
      <c r="O95" s="8" t="n">
        <f aca="false">SUMPRODUCT(($N$2:$N$101&gt;N95)*1)+SUMPRODUCT(($N$2:N95=N95)*1)</f>
        <v>47</v>
      </c>
    </row>
    <row r="96" customFormat="false" ht="15" hidden="false" customHeight="false" outlineLevel="0" collapsed="false">
      <c r="A96" s="8" t="n">
        <v>95</v>
      </c>
      <c r="B96" s="8" t="s">
        <v>160</v>
      </c>
      <c r="C96" s="8" t="s">
        <v>58</v>
      </c>
      <c r="D96" s="8" t="s">
        <v>50</v>
      </c>
      <c r="E96" s="8" t="n">
        <v>-2</v>
      </c>
      <c r="F96" s="15" t="n">
        <v>249400</v>
      </c>
      <c r="G96" s="16" t="n">
        <v>918</v>
      </c>
      <c r="H96" s="14" t="n">
        <v>271.677559912854</v>
      </c>
      <c r="I96" s="8" t="s">
        <v>60</v>
      </c>
      <c r="J96" s="17" t="n">
        <v>0.6894</v>
      </c>
      <c r="K96" s="8" t="n">
        <v>45</v>
      </c>
      <c r="L96" s="8" t="s">
        <v>55</v>
      </c>
      <c r="M96" s="8" t="n">
        <v>0</v>
      </c>
      <c r="N96" s="13" t="n">
        <f aca="false">100*('Priorização de Entrada'!$B$3*(H96/MAX(H$2:H$101))+'Priorização de Entrada'!$B$4*(1-K96/MAX(K$2:K$101))+'Priorização de Entrada'!$B$5*(IF(L96="Baixa",1,IF(L96="Média",0.5,0)))+'Priorização de Entrada'!$B$6*(IF(I96="Crescendo",1,IF(I96="Estável",0.5,0))))</f>
        <v>57.6286069543374</v>
      </c>
      <c r="O96" s="8" t="n">
        <f aca="false">SUMPRODUCT(($N$2:$N$101&gt;N96)*1)+SUMPRODUCT(($N$2:N96=N96)*1)</f>
        <v>18</v>
      </c>
    </row>
    <row r="97" customFormat="false" ht="15" hidden="false" customHeight="false" outlineLevel="0" collapsed="false">
      <c r="A97" s="8" t="n">
        <v>96</v>
      </c>
      <c r="B97" s="8" t="s">
        <v>161</v>
      </c>
      <c r="C97" s="8" t="s">
        <v>67</v>
      </c>
      <c r="D97" s="8" t="s">
        <v>50</v>
      </c>
      <c r="E97" s="8" t="n">
        <v>5</v>
      </c>
      <c r="F97" s="15" t="n">
        <v>247100</v>
      </c>
      <c r="G97" s="16" t="n">
        <v>1100</v>
      </c>
      <c r="H97" s="14" t="n">
        <v>224.636363636364</v>
      </c>
      <c r="I97" s="8" t="s">
        <v>60</v>
      </c>
      <c r="J97" s="17" t="n">
        <v>0.2176</v>
      </c>
      <c r="K97" s="8" t="n">
        <v>5</v>
      </c>
      <c r="L97" s="8" t="s">
        <v>81</v>
      </c>
      <c r="M97" s="8" t="n">
        <v>0</v>
      </c>
      <c r="N97" s="13" t="n">
        <f aca="false">100*('Priorização de Entrada'!$B$3*(H97/MAX(H$2:H$101))+'Priorização de Entrada'!$B$4*(1-K97/MAX(K$2:K$101))+'Priorização de Entrada'!$B$5*(IF(L97="Baixa",1,IF(L97="Média",0.5,0)))+'Priorização de Entrada'!$B$6*(IF(I97="Crescendo",1,IF(I97="Estável",0.5,0))))</f>
        <v>68.263049166865</v>
      </c>
      <c r="O97" s="8" t="n">
        <f aca="false">SUMPRODUCT(($N$2:$N$101&gt;N97)*1)+SUMPRODUCT(($N$2:N97=N97)*1)</f>
        <v>7</v>
      </c>
    </row>
    <row r="98" customFormat="false" ht="15" hidden="false" customHeight="false" outlineLevel="0" collapsed="false">
      <c r="A98" s="8" t="n">
        <v>97</v>
      </c>
      <c r="B98" s="8" t="s">
        <v>162</v>
      </c>
      <c r="C98" s="8" t="s">
        <v>49</v>
      </c>
      <c r="D98" s="8" t="s">
        <v>50</v>
      </c>
      <c r="E98" s="8" t="n">
        <v>5</v>
      </c>
      <c r="F98" s="15" t="n">
        <v>245000</v>
      </c>
      <c r="G98" s="16" t="n">
        <v>2300</v>
      </c>
      <c r="H98" s="14" t="n">
        <v>106.521739130435</v>
      </c>
      <c r="I98" s="8" t="s">
        <v>60</v>
      </c>
      <c r="J98" s="17" t="n">
        <v>0.5217</v>
      </c>
      <c r="K98" s="8" t="n">
        <v>60</v>
      </c>
      <c r="L98" s="8" t="s">
        <v>55</v>
      </c>
      <c r="M98" s="8" t="n">
        <v>0</v>
      </c>
      <c r="N98" s="13" t="n">
        <f aca="false">100*('Priorização de Entrada'!$B$3*(H98/MAX(H$2:H$101))+'Priorização de Entrada'!$B$4*(1-K98/MAX(K$2:K$101))+'Priorização de Entrada'!$B$5*(IF(L98="Baixa",1,IF(L98="Média",0.5,0)))+'Priorização de Entrada'!$B$6*(IF(I98="Crescendo",1,IF(I98="Estável",0.5,0))))</f>
        <v>54.5977651008745</v>
      </c>
      <c r="O98" s="8" t="n">
        <f aca="false">SUMPRODUCT(($N$2:$N$101&gt;N98)*1)+SUMPRODUCT(($N$2:N98=N98)*1)</f>
        <v>25</v>
      </c>
    </row>
    <row r="99" customFormat="false" ht="15" hidden="false" customHeight="false" outlineLevel="0" collapsed="false">
      <c r="A99" s="8" t="n">
        <v>98</v>
      </c>
      <c r="B99" s="8" t="s">
        <v>163</v>
      </c>
      <c r="C99" s="8" t="s">
        <v>67</v>
      </c>
      <c r="D99" s="8" t="s">
        <v>50</v>
      </c>
      <c r="E99" s="8" t="n">
        <v>-1</v>
      </c>
      <c r="F99" s="15" t="n">
        <v>244100</v>
      </c>
      <c r="G99" s="16" t="n">
        <v>895</v>
      </c>
      <c r="H99" s="14" t="n">
        <v>272.737430167598</v>
      </c>
      <c r="I99" s="8" t="s">
        <v>51</v>
      </c>
      <c r="J99" s="17" t="n">
        <v>0.3115</v>
      </c>
      <c r="K99" s="8" t="n">
        <v>5</v>
      </c>
      <c r="L99" s="8" t="s">
        <v>55</v>
      </c>
      <c r="M99" s="8" t="n">
        <v>0</v>
      </c>
      <c r="N99" s="13" t="n">
        <f aca="false">100*('Priorização de Entrada'!$B$3*(H99/MAX(H$2:H$101))+'Priorização de Entrada'!$B$4*(1-K99/MAX(K$2:K$101))+'Priorização de Entrada'!$B$5*(IF(L99="Baixa",1,IF(L99="Média",0.5,0)))+'Priorização de Entrada'!$B$6*(IF(I99="Crescendo",1,IF(I99="Estável",0.5,0))))</f>
        <v>48.9979805795087</v>
      </c>
      <c r="O99" s="8" t="n">
        <f aca="false">SUMPRODUCT(($N$2:$N$101&gt;N99)*1)+SUMPRODUCT(($N$2:N99=N99)*1)</f>
        <v>35</v>
      </c>
    </row>
    <row r="100" customFormat="false" ht="15" hidden="false" customHeight="false" outlineLevel="0" collapsed="false">
      <c r="A100" s="8" t="n">
        <v>99</v>
      </c>
      <c r="B100" s="8" t="s">
        <v>164</v>
      </c>
      <c r="C100" s="8" t="s">
        <v>58</v>
      </c>
      <c r="D100" s="8" t="s">
        <v>50</v>
      </c>
      <c r="E100" s="8" t="n">
        <v>-10</v>
      </c>
      <c r="F100" s="15" t="n">
        <v>218800</v>
      </c>
      <c r="G100" s="16" t="n">
        <v>1000</v>
      </c>
      <c r="H100" s="14" t="n">
        <v>218.8</v>
      </c>
      <c r="I100" s="8" t="s">
        <v>62</v>
      </c>
      <c r="J100" s="17" t="n">
        <v>0.6591</v>
      </c>
      <c r="K100" s="8" t="n">
        <v>53</v>
      </c>
      <c r="L100" s="8" t="s">
        <v>52</v>
      </c>
      <c r="M100" s="8" t="n">
        <v>0</v>
      </c>
      <c r="N100" s="13" t="n">
        <f aca="false">100*('Priorização de Entrada'!$B$3*(H100/MAX(H$2:H$101))+'Priorização de Entrada'!$B$4*(1-K100/MAX(K$2:K$101))+'Priorização de Entrada'!$B$5*(IF(L100="Baixa",1,IF(L100="Média",0.5,0)))+'Priorização de Entrada'!$B$6*(IF(I100="Crescendo",1,IF(I100="Estável",0.5,0))))</f>
        <v>26.550059979675</v>
      </c>
      <c r="O100" s="8" t="n">
        <f aca="false">SUMPRODUCT(($N$2:$N$101&gt;N100)*1)+SUMPRODUCT(($N$2:N100=N100)*1)</f>
        <v>86</v>
      </c>
    </row>
    <row r="101" customFormat="false" ht="15" hidden="false" customHeight="false" outlineLevel="0" collapsed="false">
      <c r="A101" s="8" t="n">
        <v>100</v>
      </c>
      <c r="B101" s="8" t="s">
        <v>165</v>
      </c>
      <c r="C101" s="8" t="s">
        <v>54</v>
      </c>
      <c r="D101" s="8" t="s">
        <v>50</v>
      </c>
      <c r="E101" s="8" t="n">
        <v>7</v>
      </c>
      <c r="F101" s="15" t="n">
        <v>218100</v>
      </c>
      <c r="G101" s="16" t="n">
        <v>679</v>
      </c>
      <c r="H101" s="14" t="n">
        <v>321.20765832106</v>
      </c>
      <c r="I101" s="8" t="s">
        <v>60</v>
      </c>
      <c r="J101" s="17" t="n">
        <v>0.7247</v>
      </c>
      <c r="K101" s="8" t="n">
        <v>68</v>
      </c>
      <c r="L101" s="8" t="s">
        <v>81</v>
      </c>
      <c r="M101" s="8" t="n">
        <v>0</v>
      </c>
      <c r="N101" s="13" t="n">
        <f aca="false">100*('Priorização de Entrada'!$B$3*(H101/MAX(H$2:H$101))+'Priorização de Entrada'!$B$4*(1-K101/MAX(K$2:K$101))+'Priorização de Entrada'!$B$5*(IF(L101="Baixa",1,IF(L101="Média",0.5,0)))+'Priorização de Entrada'!$B$6*(IF(I101="Crescendo",1,IF(I101="Estável",0.5,0))))</f>
        <v>67.6072939184964</v>
      </c>
      <c r="O101" s="8" t="n">
        <f aca="false">SUMPRODUCT(($N$2:$N$101&gt;N101)*1)+SUMPRODUCT(($N$2:N101=N101)*1)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2026-09-11T22:15:39Z</dcterms:created>
  <dc:creator>openpyxl</dc:creator>
  <dc:description/>
  <dc:language>en-US</dc:language>
  <cp:lastModifiedBy/>
  <dcterms:modified xsi:type="dcterms:W3CDTF">2026-09-11T22:15:39Z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